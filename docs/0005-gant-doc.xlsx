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2.xml" ContentType="application/vnd.ms-excel.controlproperties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trlProps/ctrlProp3.xml" ContentType="application/vnd.ms-excel.controlpropertie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/>
  <xr:revisionPtr revIDLastSave="0" documentId="13_ncr:1_{5F1C8F96-2481-49AC-9384-6D27F39F0E27}" xr6:coauthVersionLast="47" xr6:coauthVersionMax="47" xr10:uidLastSave="{00000000-0000-0000-0000-000000000000}"/>
  <bookViews>
    <workbookView xWindow="-120" yWindow="-120" windowWidth="38640" windowHeight="21120" tabRatio="415" firstSheet="1" activeTab="1" xr2:uid="{00000000-000D-0000-FFFF-FFFF00000000}"/>
  </bookViews>
  <sheets>
    <sheet name="Sobre" sheetId="12" r:id="rId1"/>
    <sheet name="Escuro" sheetId="16" r:id="rId2"/>
    <sheet name="Claro" sheetId="17" r:id="rId3"/>
    <sheet name="Cor" sheetId="18" r:id="rId4"/>
  </sheets>
  <definedNames>
    <definedName name="Hoje" localSheetId="2">TODAY()</definedName>
    <definedName name="Hoje" localSheetId="3">TODAY()</definedName>
    <definedName name="Hoje" localSheetId="1">TODAY()</definedName>
    <definedName name="Incremento_de_Rolagem" localSheetId="2">Claro!$C$7</definedName>
    <definedName name="Incremento_de_Rolagem" localSheetId="3">Cor!$C$7</definedName>
    <definedName name="Incremento_de_Rolagem" localSheetId="1">Escuro!$D$7</definedName>
    <definedName name="Início_do_projeto" localSheetId="2">Claro!$C$6</definedName>
    <definedName name="Início_do_projeto" localSheetId="3">Cor!$C$6</definedName>
    <definedName name="Início_do_projeto" localSheetId="1">Escuro!$D$6</definedName>
    <definedName name="_xlnm.Print_Titles" localSheetId="2">Claro!$6:$9</definedName>
    <definedName name="_xlnm.Print_Titles" localSheetId="3">Cor!$6:$9</definedName>
    <definedName name="_xlnm.Print_Titles" localSheetId="1">Escuro!$6:$9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6" l="1"/>
  <c r="G12" i="16" s="1"/>
  <c r="G13" i="16" s="1"/>
  <c r="F13" i="18"/>
  <c r="F12" i="18"/>
  <c r="F13" i="17"/>
  <c r="F12" i="17"/>
  <c r="F18" i="17" s="1"/>
  <c r="F19" i="17" s="1"/>
  <c r="F20" i="17" s="1"/>
  <c r="F21" i="17" s="1"/>
  <c r="G14" i="16" l="1"/>
  <c r="G15" i="16" s="1"/>
  <c r="G16" i="16" s="1"/>
  <c r="F24" i="18"/>
  <c r="F25" i="18" s="1"/>
  <c r="F26" i="18" s="1"/>
  <c r="F15" i="18"/>
  <c r="F18" i="18"/>
  <c r="F19" i="18" s="1"/>
  <c r="F20" i="18" s="1"/>
  <c r="F21" i="18" s="1"/>
  <c r="F16" i="18"/>
  <c r="F28" i="18" s="1"/>
  <c r="F14" i="18"/>
  <c r="F27" i="17"/>
  <c r="F30" i="17" s="1"/>
  <c r="F31" i="17" s="1"/>
  <c r="F32" i="17" s="1"/>
  <c r="F22" i="17"/>
  <c r="F14" i="17"/>
  <c r="F15" i="17"/>
  <c r="F16" i="17"/>
  <c r="F28" i="17" s="1"/>
  <c r="F24" i="17"/>
  <c r="F25" i="17" s="1"/>
  <c r="F26" i="17" s="1"/>
  <c r="G17" i="16" l="1"/>
  <c r="G18" i="16" s="1"/>
  <c r="G19" i="16" s="1"/>
  <c r="G20" i="16" s="1"/>
  <c r="G21" i="16" s="1"/>
  <c r="G22" i="16" s="1"/>
  <c r="G23" i="16" s="1"/>
  <c r="F27" i="18"/>
  <c r="F30" i="18" s="1"/>
  <c r="F31" i="18" s="1"/>
  <c r="F32" i="18" s="1"/>
  <c r="F22" i="18"/>
  <c r="C6" i="17" a="1"/>
  <c r="C6" i="17" s="1"/>
  <c r="I7" i="17" s="1"/>
  <c r="I35" i="17" s="1"/>
  <c r="C6" i="18" l="1" a="1"/>
  <c r="C6" i="18" s="1"/>
  <c r="I7" i="18" s="1"/>
  <c r="I26" i="18" s="1"/>
  <c r="J7" i="17"/>
  <c r="J35" i="17" s="1"/>
  <c r="I9" i="17"/>
  <c r="I23" i="17"/>
  <c r="I27" i="17"/>
  <c r="I13" i="17"/>
  <c r="I11" i="17"/>
  <c r="I24" i="17"/>
  <c r="I29" i="17"/>
  <c r="I21" i="17"/>
  <c r="I22" i="17"/>
  <c r="I25" i="17"/>
  <c r="I16" i="17"/>
  <c r="I26" i="17"/>
  <c r="I32" i="17"/>
  <c r="I31" i="17"/>
  <c r="I12" i="17"/>
  <c r="I17" i="17"/>
  <c r="I15" i="17"/>
  <c r="I19" i="17"/>
  <c r="I30" i="17"/>
  <c r="I33" i="17"/>
  <c r="I14" i="17"/>
  <c r="I6" i="17"/>
  <c r="I18" i="17"/>
  <c r="I34" i="17"/>
  <c r="I20" i="17"/>
  <c r="I28" i="17"/>
  <c r="J15" i="17" l="1"/>
  <c r="J28" i="17"/>
  <c r="J14" i="17"/>
  <c r="J32" i="17"/>
  <c r="J16" i="17"/>
  <c r="J26" i="17"/>
  <c r="J24" i="17"/>
  <c r="J20" i="17"/>
  <c r="J18" i="17"/>
  <c r="J33" i="17"/>
  <c r="K7" i="17"/>
  <c r="K33" i="17" s="1"/>
  <c r="J17" i="17"/>
  <c r="J23" i="17"/>
  <c r="J29" i="17"/>
  <c r="J34" i="17"/>
  <c r="J9" i="17"/>
  <c r="J12" i="17"/>
  <c r="J21" i="17"/>
  <c r="J19" i="17"/>
  <c r="J30" i="17"/>
  <c r="J11" i="17"/>
  <c r="J13" i="17"/>
  <c r="J25" i="17"/>
  <c r="J22" i="17"/>
  <c r="J27" i="17"/>
  <c r="J31" i="17"/>
  <c r="I6" i="18"/>
  <c r="I21" i="18"/>
  <c r="I24" i="18"/>
  <c r="I14" i="18"/>
  <c r="I9" i="18"/>
  <c r="I19" i="18"/>
  <c r="I27" i="18"/>
  <c r="I29" i="18"/>
  <c r="I11" i="18"/>
  <c r="I34" i="18"/>
  <c r="I31" i="18"/>
  <c r="J7" i="18"/>
  <c r="J33" i="18" s="1"/>
  <c r="I13" i="18"/>
  <c r="I20" i="18"/>
  <c r="I18" i="18"/>
  <c r="I23" i="18"/>
  <c r="I33" i="18"/>
  <c r="I12" i="18"/>
  <c r="I15" i="18"/>
  <c r="I16" i="18"/>
  <c r="I32" i="18"/>
  <c r="I28" i="18"/>
  <c r="I35" i="18"/>
  <c r="I17" i="18"/>
  <c r="I30" i="18"/>
  <c r="I22" i="18"/>
  <c r="I25" i="18"/>
  <c r="J35" i="18" l="1"/>
  <c r="K35" i="17"/>
  <c r="K24" i="17"/>
  <c r="K18" i="17"/>
  <c r="K28" i="17"/>
  <c r="K9" i="17"/>
  <c r="K13" i="17"/>
  <c r="K31" i="17"/>
  <c r="K12" i="17"/>
  <c r="K22" i="17"/>
  <c r="K11" i="17"/>
  <c r="K21" i="17"/>
  <c r="K34" i="17"/>
  <c r="K20" i="17"/>
  <c r="K17" i="17"/>
  <c r="K30" i="17"/>
  <c r="K19" i="17"/>
  <c r="K25" i="17"/>
  <c r="K26" i="17"/>
  <c r="K23" i="17"/>
  <c r="K32" i="17"/>
  <c r="K14" i="17"/>
  <c r="K15" i="17"/>
  <c r="L7" i="17"/>
  <c r="L35" i="17" s="1"/>
  <c r="K16" i="17"/>
  <c r="K29" i="17"/>
  <c r="K27" i="17"/>
  <c r="J14" i="18"/>
  <c r="J15" i="18"/>
  <c r="J18" i="18"/>
  <c r="J25" i="18"/>
  <c r="J11" i="18"/>
  <c r="K7" i="18"/>
  <c r="K33" i="18" s="1"/>
  <c r="J20" i="18"/>
  <c r="J30" i="18"/>
  <c r="J31" i="18"/>
  <c r="J16" i="18"/>
  <c r="J12" i="18"/>
  <c r="J21" i="18"/>
  <c r="J24" i="18"/>
  <c r="J32" i="18"/>
  <c r="J19" i="18"/>
  <c r="J13" i="18"/>
  <c r="J26" i="18"/>
  <c r="J28" i="18"/>
  <c r="J34" i="18"/>
  <c r="J9" i="18"/>
  <c r="J23" i="18"/>
  <c r="J22" i="18"/>
  <c r="J17" i="18"/>
  <c r="J27" i="18"/>
  <c r="J29" i="18"/>
  <c r="K35" i="18" l="1"/>
  <c r="K26" i="18"/>
  <c r="K11" i="18"/>
  <c r="K12" i="18"/>
  <c r="K30" i="18"/>
  <c r="L22" i="17"/>
  <c r="L20" i="17"/>
  <c r="L26" i="17"/>
  <c r="L15" i="17"/>
  <c r="L16" i="17"/>
  <c r="L32" i="17"/>
  <c r="L13" i="17"/>
  <c r="M7" i="17"/>
  <c r="M31" i="17" s="1"/>
  <c r="L17" i="17"/>
  <c r="L33" i="17"/>
  <c r="L19" i="17"/>
  <c r="L24" i="17"/>
  <c r="L29" i="17"/>
  <c r="L18" i="17"/>
  <c r="L9" i="17"/>
  <c r="L12" i="17"/>
  <c r="L25" i="17"/>
  <c r="L21" i="17"/>
  <c r="L30" i="17"/>
  <c r="L34" i="17"/>
  <c r="L14" i="17"/>
  <c r="L11" i="17"/>
  <c r="L23" i="17"/>
  <c r="L27" i="17"/>
  <c r="L28" i="17"/>
  <c r="L31" i="17"/>
  <c r="K21" i="18"/>
  <c r="K20" i="18"/>
  <c r="K31" i="18"/>
  <c r="K18" i="18"/>
  <c r="K24" i="18"/>
  <c r="K9" i="18"/>
  <c r="K25" i="18"/>
  <c r="K27" i="18"/>
  <c r="K34" i="18"/>
  <c r="K13" i="18"/>
  <c r="K14" i="18"/>
  <c r="K16" i="18"/>
  <c r="K22" i="18"/>
  <c r="K28" i="18"/>
  <c r="K32" i="18"/>
  <c r="K15" i="18"/>
  <c r="L7" i="18"/>
  <c r="L35" i="18" s="1"/>
  <c r="K19" i="18"/>
  <c r="K17" i="18"/>
  <c r="K23" i="18"/>
  <c r="K29" i="18"/>
  <c r="M35" i="17" l="1"/>
  <c r="M12" i="17"/>
  <c r="M21" i="17"/>
  <c r="M27" i="17"/>
  <c r="M18" i="17"/>
  <c r="M19" i="17"/>
  <c r="M34" i="17"/>
  <c r="M14" i="17"/>
  <c r="M24" i="17"/>
  <c r="M28" i="17"/>
  <c r="M17" i="17"/>
  <c r="M15" i="17"/>
  <c r="M26" i="17"/>
  <c r="M33" i="17"/>
  <c r="M16" i="17"/>
  <c r="M20" i="17"/>
  <c r="M29" i="17"/>
  <c r="M9" i="17"/>
  <c r="M22" i="17"/>
  <c r="M30" i="17"/>
  <c r="N7" i="17"/>
  <c r="N35" i="17" s="1"/>
  <c r="M13" i="17"/>
  <c r="M11" i="17"/>
  <c r="M23" i="17"/>
  <c r="M25" i="17"/>
  <c r="M32" i="17"/>
  <c r="L29" i="18"/>
  <c r="L20" i="18"/>
  <c r="L17" i="18"/>
  <c r="L23" i="18"/>
  <c r="L9" i="18"/>
  <c r="L32" i="18"/>
  <c r="M7" i="18"/>
  <c r="M31" i="18" s="1"/>
  <c r="L16" i="18"/>
  <c r="L11" i="18"/>
  <c r="L19" i="18"/>
  <c r="L28" i="18"/>
  <c r="L27" i="18"/>
  <c r="L33" i="18"/>
  <c r="L13" i="18"/>
  <c r="L21" i="18"/>
  <c r="L18" i="18"/>
  <c r="L25" i="18"/>
  <c r="L26" i="18"/>
  <c r="L30" i="18"/>
  <c r="L34" i="18"/>
  <c r="L14" i="18"/>
  <c r="L12" i="18"/>
  <c r="L24" i="18"/>
  <c r="L15" i="18"/>
  <c r="L22" i="18"/>
  <c r="L31" i="18"/>
  <c r="M35" i="18" l="1"/>
  <c r="N11" i="17"/>
  <c r="N17" i="17"/>
  <c r="N21" i="17"/>
  <c r="N29" i="17"/>
  <c r="N15" i="17"/>
  <c r="N23" i="17"/>
  <c r="N32" i="17"/>
  <c r="N25" i="17"/>
  <c r="O7" i="17"/>
  <c r="O33" i="17" s="1"/>
  <c r="N26" i="17"/>
  <c r="N19" i="17"/>
  <c r="N33" i="17"/>
  <c r="N12" i="17"/>
  <c r="N14" i="17"/>
  <c r="N28" i="17"/>
  <c r="M33" i="18"/>
  <c r="N9" i="17"/>
  <c r="N16" i="17"/>
  <c r="N13" i="17"/>
  <c r="N18" i="17"/>
  <c r="N24" i="17"/>
  <c r="N30" i="17"/>
  <c r="N34" i="17"/>
  <c r="N20" i="17"/>
  <c r="N22" i="17"/>
  <c r="N27" i="17"/>
  <c r="N31" i="17"/>
  <c r="M21" i="18"/>
  <c r="M22" i="18"/>
  <c r="M12" i="18"/>
  <c r="M28" i="18"/>
  <c r="M13" i="18"/>
  <c r="M29" i="18"/>
  <c r="M11" i="18"/>
  <c r="M18" i="18"/>
  <c r="M25" i="18"/>
  <c r="M20" i="18"/>
  <c r="M24" i="18"/>
  <c r="M30" i="18"/>
  <c r="M15" i="18"/>
  <c r="M16" i="18"/>
  <c r="M23" i="18"/>
  <c r="M14" i="18"/>
  <c r="M32" i="18"/>
  <c r="M26" i="18"/>
  <c r="N7" i="18"/>
  <c r="N35" i="18" s="1"/>
  <c r="M9" i="18"/>
  <c r="M17" i="18"/>
  <c r="M27" i="18"/>
  <c r="M19" i="18"/>
  <c r="M34" i="18"/>
  <c r="O12" i="17" l="1"/>
  <c r="O30" i="17"/>
  <c r="O34" i="17"/>
  <c r="O20" i="17"/>
  <c r="O16" i="17"/>
  <c r="O9" i="17"/>
  <c r="O22" i="17"/>
  <c r="O11" i="17"/>
  <c r="O19" i="17"/>
  <c r="O25" i="17"/>
  <c r="O17" i="17"/>
  <c r="O23" i="17"/>
  <c r="O31" i="17"/>
  <c r="O35" i="17"/>
  <c r="O15" i="17"/>
  <c r="O24" i="17"/>
  <c r="O26" i="17"/>
  <c r="O21" i="17"/>
  <c r="O29" i="17"/>
  <c r="O32" i="17"/>
  <c r="O14" i="17"/>
  <c r="P7" i="17"/>
  <c r="P33" i="17" s="1"/>
  <c r="O13" i="17"/>
  <c r="O28" i="17"/>
  <c r="O18" i="17"/>
  <c r="O27" i="17"/>
  <c r="N21" i="18"/>
  <c r="N22" i="18"/>
  <c r="N12" i="18"/>
  <c r="N29" i="18"/>
  <c r="N14" i="18"/>
  <c r="N25" i="18"/>
  <c r="N16" i="18"/>
  <c r="N26" i="18"/>
  <c r="N32" i="18"/>
  <c r="N9" i="18"/>
  <c r="N15" i="18"/>
  <c r="N27" i="18"/>
  <c r="N33" i="18"/>
  <c r="N11" i="18"/>
  <c r="N19" i="18"/>
  <c r="N20" i="18"/>
  <c r="N23" i="18"/>
  <c r="N24" i="18"/>
  <c r="N30" i="18"/>
  <c r="N34" i="18"/>
  <c r="O7" i="18"/>
  <c r="O32" i="18" s="1"/>
  <c r="N13" i="18"/>
  <c r="N17" i="18"/>
  <c r="N18" i="18"/>
  <c r="N28" i="18"/>
  <c r="N31" i="18"/>
  <c r="P15" i="17" l="1"/>
  <c r="P30" i="17"/>
  <c r="P12" i="17"/>
  <c r="P34" i="17"/>
  <c r="P25" i="17"/>
  <c r="P23" i="17"/>
  <c r="P27" i="17"/>
  <c r="P14" i="17"/>
  <c r="P18" i="17"/>
  <c r="P19" i="17"/>
  <c r="P16" i="17"/>
  <c r="P28" i="17"/>
  <c r="P31" i="17"/>
  <c r="P35" i="17"/>
  <c r="P22" i="17"/>
  <c r="P6" i="17"/>
  <c r="P9" i="17"/>
  <c r="P24" i="17"/>
  <c r="P17" i="17"/>
  <c r="P29" i="17"/>
  <c r="P32" i="17"/>
  <c r="P13" i="17"/>
  <c r="P11" i="17"/>
  <c r="Q7" i="17"/>
  <c r="Q32" i="17" s="1"/>
  <c r="P20" i="17"/>
  <c r="P21" i="17"/>
  <c r="P26" i="17"/>
  <c r="O13" i="18"/>
  <c r="O23" i="18"/>
  <c r="P7" i="18"/>
  <c r="P33" i="18" s="1"/>
  <c r="O29" i="18"/>
  <c r="O19" i="18"/>
  <c r="O33" i="18"/>
  <c r="O21" i="18"/>
  <c r="O9" i="18"/>
  <c r="O20" i="18"/>
  <c r="O25" i="18"/>
  <c r="O27" i="18"/>
  <c r="O30" i="18"/>
  <c r="O34" i="18"/>
  <c r="O11" i="18"/>
  <c r="O15" i="18"/>
  <c r="O16" i="18"/>
  <c r="O26" i="18"/>
  <c r="O24" i="18"/>
  <c r="O31" i="18"/>
  <c r="O35" i="18"/>
  <c r="O12" i="18"/>
  <c r="O18" i="18"/>
  <c r="O14" i="18"/>
  <c r="O17" i="18"/>
  <c r="O22" i="18"/>
  <c r="O28" i="18"/>
  <c r="P35" i="18" l="1"/>
  <c r="Q34" i="17"/>
  <c r="P34" i="18"/>
  <c r="Q18" i="17"/>
  <c r="Q19" i="17"/>
  <c r="Q13" i="17"/>
  <c r="Q20" i="17"/>
  <c r="Q17" i="17"/>
  <c r="Q28" i="17"/>
  <c r="Q21" i="17"/>
  <c r="Q9" i="17"/>
  <c r="Q22" i="17"/>
  <c r="Q24" i="17"/>
  <c r="Q25" i="17"/>
  <c r="Q29" i="17"/>
  <c r="Q14" i="17"/>
  <c r="Q11" i="17"/>
  <c r="Q23" i="17"/>
  <c r="Q26" i="17"/>
  <c r="Q31" i="17"/>
  <c r="Q30" i="17"/>
  <c r="Q12" i="17"/>
  <c r="R7" i="17"/>
  <c r="R33" i="17" s="1"/>
  <c r="Q16" i="17"/>
  <c r="Q15" i="17"/>
  <c r="Q35" i="17"/>
  <c r="Q33" i="17"/>
  <c r="Q27" i="17"/>
  <c r="P14" i="18"/>
  <c r="P21" i="18"/>
  <c r="P13" i="18"/>
  <c r="P26" i="18"/>
  <c r="Q7" i="18"/>
  <c r="Q34" i="18" s="1"/>
  <c r="P22" i="18"/>
  <c r="P16" i="18"/>
  <c r="P29" i="18"/>
  <c r="P30" i="18"/>
  <c r="P25" i="18"/>
  <c r="P15" i="18"/>
  <c r="P31" i="18"/>
  <c r="P28" i="18"/>
  <c r="P12" i="18"/>
  <c r="P9" i="18"/>
  <c r="P18" i="18"/>
  <c r="P20" i="18"/>
  <c r="P23" i="18"/>
  <c r="P32" i="18"/>
  <c r="P6" i="18"/>
  <c r="P17" i="18"/>
  <c r="P11" i="18"/>
  <c r="P19" i="18"/>
  <c r="P24" i="18"/>
  <c r="P27" i="18"/>
  <c r="R21" i="17" l="1"/>
  <c r="R19" i="17"/>
  <c r="S7" i="17"/>
  <c r="S32" i="17" s="1"/>
  <c r="R28" i="17"/>
  <c r="R13" i="17"/>
  <c r="R34" i="17"/>
  <c r="R11" i="17"/>
  <c r="R12" i="17"/>
  <c r="R14" i="17"/>
  <c r="R18" i="17"/>
  <c r="R24" i="17"/>
  <c r="R30" i="17"/>
  <c r="R35" i="17"/>
  <c r="R9" i="17"/>
  <c r="R25" i="17"/>
  <c r="R16" i="17"/>
  <c r="R22" i="17"/>
  <c r="R26" i="17"/>
  <c r="R31" i="17"/>
  <c r="R15" i="17"/>
  <c r="R20" i="17"/>
  <c r="R17" i="17"/>
  <c r="R23" i="17"/>
  <c r="R27" i="17"/>
  <c r="R32" i="17"/>
  <c r="Q35" i="18"/>
  <c r="R29" i="17"/>
  <c r="Q20" i="18"/>
  <c r="Q23" i="18"/>
  <c r="Q24" i="18"/>
  <c r="Q30" i="18"/>
  <c r="Q21" i="18"/>
  <c r="Q26" i="18"/>
  <c r="Q15" i="18"/>
  <c r="Q33" i="18"/>
  <c r="Q29" i="18"/>
  <c r="Q13" i="18"/>
  <c r="Q14" i="18"/>
  <c r="Q25" i="18"/>
  <c r="R7" i="18"/>
  <c r="R34" i="18" s="1"/>
  <c r="Q9" i="18"/>
  <c r="Q16" i="18"/>
  <c r="Q18" i="18"/>
  <c r="Q19" i="18"/>
  <c r="Q31" i="18"/>
  <c r="Q32" i="18"/>
  <c r="Q12" i="18"/>
  <c r="Q11" i="18"/>
  <c r="Q17" i="18"/>
  <c r="Q27" i="18"/>
  <c r="Q22" i="18"/>
  <c r="Q28" i="18"/>
  <c r="S20" i="17"/>
  <c r="S16" i="17" l="1"/>
  <c r="S30" i="17"/>
  <c r="S25" i="17"/>
  <c r="S15" i="17"/>
  <c r="S27" i="17"/>
  <c r="T7" i="17"/>
  <c r="T32" i="17" s="1"/>
  <c r="S14" i="17"/>
  <c r="S28" i="17"/>
  <c r="S33" i="17"/>
  <c r="S19" i="17"/>
  <c r="S12" i="17"/>
  <c r="S18" i="17"/>
  <c r="S34" i="17"/>
  <c r="S9" i="17"/>
  <c r="S17" i="17"/>
  <c r="S26" i="17"/>
  <c r="S13" i="17"/>
  <c r="S22" i="17"/>
  <c r="S31" i="17"/>
  <c r="S35" i="17"/>
  <c r="S11" i="17"/>
  <c r="S29" i="17"/>
  <c r="S24" i="17"/>
  <c r="S21" i="17"/>
  <c r="S23" i="17"/>
  <c r="R15" i="18"/>
  <c r="R16" i="18"/>
  <c r="R28" i="18"/>
  <c r="R22" i="18"/>
  <c r="R35" i="18"/>
  <c r="R11" i="18"/>
  <c r="R24" i="18"/>
  <c r="R12" i="18"/>
  <c r="R21" i="18"/>
  <c r="R31" i="18"/>
  <c r="R23" i="18"/>
  <c r="R18" i="18"/>
  <c r="R32" i="18"/>
  <c r="R14" i="18"/>
  <c r="R13" i="18"/>
  <c r="R20" i="18"/>
  <c r="R27" i="18"/>
  <c r="R29" i="18"/>
  <c r="R33" i="18"/>
  <c r="R26" i="18"/>
  <c r="R9" i="18"/>
  <c r="S7" i="18"/>
  <c r="S35" i="18" s="1"/>
  <c r="R19" i="18"/>
  <c r="R17" i="18"/>
  <c r="R30" i="18"/>
  <c r="R25" i="18"/>
  <c r="T15" i="17" l="1"/>
  <c r="T18" i="17"/>
  <c r="T33" i="17"/>
  <c r="T17" i="17"/>
  <c r="T23" i="17"/>
  <c r="T26" i="17"/>
  <c r="T24" i="17"/>
  <c r="T27" i="17"/>
  <c r="T20" i="17"/>
  <c r="T21" i="17"/>
  <c r="T30" i="17"/>
  <c r="T34" i="17"/>
  <c r="T13" i="17"/>
  <c r="U7" i="17"/>
  <c r="U30" i="17" s="1"/>
  <c r="T14" i="17"/>
  <c r="T9" i="17"/>
  <c r="T12" i="17"/>
  <c r="T25" i="17"/>
  <c r="T28" i="17"/>
  <c r="T31" i="17"/>
  <c r="T35" i="17"/>
  <c r="T19" i="17"/>
  <c r="T11" i="17"/>
  <c r="T22" i="17"/>
  <c r="T16" i="17"/>
  <c r="T29" i="17"/>
  <c r="T7" i="18"/>
  <c r="T32" i="18" s="1"/>
  <c r="S21" i="18"/>
  <c r="S12" i="18"/>
  <c r="S26" i="18"/>
  <c r="S18" i="18"/>
  <c r="S25" i="18"/>
  <c r="S24" i="18"/>
  <c r="S9" i="18"/>
  <c r="S20" i="18"/>
  <c r="S31" i="18"/>
  <c r="S30" i="18"/>
  <c r="S27" i="18"/>
  <c r="S34" i="18"/>
  <c r="S11" i="18"/>
  <c r="S14" i="18"/>
  <c r="S16" i="18"/>
  <c r="S22" i="18"/>
  <c r="S28" i="18"/>
  <c r="S32" i="18"/>
  <c r="S15" i="18"/>
  <c r="S13" i="18"/>
  <c r="S19" i="18"/>
  <c r="S17" i="18"/>
  <c r="S23" i="18"/>
  <c r="S29" i="18"/>
  <c r="S33" i="18"/>
  <c r="U17" i="17" l="1"/>
  <c r="U11" i="17"/>
  <c r="U15" i="17"/>
  <c r="U19" i="17"/>
  <c r="U31" i="17"/>
  <c r="U32" i="17"/>
  <c r="U35" i="17"/>
  <c r="U18" i="17"/>
  <c r="U24" i="17"/>
  <c r="U34" i="17"/>
  <c r="V7" i="17"/>
  <c r="V33" i="17" s="1"/>
  <c r="U21" i="17"/>
  <c r="U22" i="17"/>
  <c r="U25" i="17"/>
  <c r="U28" i="17"/>
  <c r="U16" i="17"/>
  <c r="U14" i="17"/>
  <c r="U26" i="17"/>
  <c r="U27" i="17"/>
  <c r="U29" i="17"/>
  <c r="U12" i="17"/>
  <c r="U13" i="17"/>
  <c r="U9" i="17"/>
  <c r="U23" i="17"/>
  <c r="U20" i="17"/>
  <c r="U33" i="17"/>
  <c r="T18" i="18"/>
  <c r="T35" i="18"/>
  <c r="T26" i="18"/>
  <c r="T14" i="18"/>
  <c r="T21" i="18"/>
  <c r="T30" i="18"/>
  <c r="T25" i="18"/>
  <c r="T11" i="18"/>
  <c r="T20" i="18"/>
  <c r="T33" i="18"/>
  <c r="U7" i="18"/>
  <c r="U32" i="18" s="1"/>
  <c r="T28" i="18"/>
  <c r="T23" i="18"/>
  <c r="T13" i="18"/>
  <c r="T12" i="18"/>
  <c r="T17" i="18"/>
  <c r="T19" i="18"/>
  <c r="T29" i="18"/>
  <c r="T27" i="18"/>
  <c r="T34" i="18"/>
  <c r="T16" i="18"/>
  <c r="T9" i="18"/>
  <c r="T24" i="18"/>
  <c r="T15" i="18"/>
  <c r="T22" i="18"/>
  <c r="T31" i="18"/>
  <c r="U34" i="18" l="1"/>
  <c r="V16" i="17"/>
  <c r="V30" i="17"/>
  <c r="V22" i="17"/>
  <c r="V25" i="17"/>
  <c r="V34" i="17"/>
  <c r="V11" i="17"/>
  <c r="V24" i="17"/>
  <c r="V14" i="17"/>
  <c r="W7" i="17"/>
  <c r="W32" i="17" s="1"/>
  <c r="V28" i="17"/>
  <c r="V15" i="17"/>
  <c r="V17" i="17"/>
  <c r="V23" i="17"/>
  <c r="V27" i="17"/>
  <c r="V31" i="17"/>
  <c r="V35" i="17"/>
  <c r="V13" i="17"/>
  <c r="V21" i="17"/>
  <c r="V26" i="17"/>
  <c r="V32" i="17"/>
  <c r="V9" i="17"/>
  <c r="V12" i="17"/>
  <c r="V20" i="17"/>
  <c r="V18" i="17"/>
  <c r="V19" i="17"/>
  <c r="V29" i="17"/>
  <c r="U22" i="18"/>
  <c r="U14" i="18"/>
  <c r="U12" i="18"/>
  <c r="U29" i="18"/>
  <c r="U9" i="18"/>
  <c r="U25" i="18"/>
  <c r="U13" i="18"/>
  <c r="U16" i="18"/>
  <c r="U23" i="18"/>
  <c r="U19" i="18"/>
  <c r="U31" i="18"/>
  <c r="U30" i="18"/>
  <c r="U11" i="18"/>
  <c r="U15" i="18"/>
  <c r="U17" i="18"/>
  <c r="U18" i="18"/>
  <c r="U27" i="18"/>
  <c r="U33" i="18"/>
  <c r="U26" i="18"/>
  <c r="V7" i="18"/>
  <c r="V32" i="18" s="1"/>
  <c r="U20" i="18"/>
  <c r="U21" i="18"/>
  <c r="U24" i="18"/>
  <c r="U28" i="18"/>
  <c r="U35" i="18"/>
  <c r="W24" i="17" l="1"/>
  <c r="W15" i="17"/>
  <c r="W22" i="17"/>
  <c r="W30" i="17"/>
  <c r="W16" i="17"/>
  <c r="W27" i="17"/>
  <c r="X7" i="17"/>
  <c r="X29" i="17" s="1"/>
  <c r="W17" i="17"/>
  <c r="W6" i="17"/>
  <c r="W23" i="17"/>
  <c r="W13" i="17"/>
  <c r="W33" i="17"/>
  <c r="W20" i="17"/>
  <c r="W34" i="17"/>
  <c r="W9" i="17"/>
  <c r="W12" i="17"/>
  <c r="W25" i="17"/>
  <c r="W21" i="17"/>
  <c r="W28" i="17"/>
  <c r="W31" i="17"/>
  <c r="W35" i="17"/>
  <c r="W14" i="17"/>
  <c r="W11" i="17"/>
  <c r="W19" i="17"/>
  <c r="W29" i="17"/>
  <c r="W18" i="17"/>
  <c r="W26" i="17"/>
  <c r="V19" i="18"/>
  <c r="V27" i="18"/>
  <c r="V12" i="18"/>
  <c r="V25" i="18"/>
  <c r="V20" i="18"/>
  <c r="V33" i="18"/>
  <c r="V22" i="18"/>
  <c r="V9" i="18"/>
  <c r="V14" i="18"/>
  <c r="V26" i="18"/>
  <c r="V23" i="18"/>
  <c r="V24" i="18"/>
  <c r="V30" i="18"/>
  <c r="V34" i="18"/>
  <c r="V11" i="18"/>
  <c r="V16" i="18"/>
  <c r="V17" i="18"/>
  <c r="V13" i="18"/>
  <c r="V28" i="18"/>
  <c r="V31" i="18"/>
  <c r="V35" i="18"/>
  <c r="W7" i="18"/>
  <c r="W34" i="18" s="1"/>
  <c r="V15" i="18"/>
  <c r="V21" i="18"/>
  <c r="V18" i="18"/>
  <c r="V29" i="18"/>
  <c r="Y7" i="17" l="1"/>
  <c r="Y25" i="17" s="1"/>
  <c r="X26" i="17"/>
  <c r="X30" i="17"/>
  <c r="X31" i="17"/>
  <c r="X32" i="17"/>
  <c r="X33" i="17"/>
  <c r="X34" i="17"/>
  <c r="X13" i="17"/>
  <c r="X14" i="17"/>
  <c r="X22" i="17"/>
  <c r="X9" i="17"/>
  <c r="X12" i="17"/>
  <c r="X35" i="17"/>
  <c r="X19" i="17"/>
  <c r="X24" i="17"/>
  <c r="X27" i="17"/>
  <c r="X20" i="17"/>
  <c r="X25" i="17"/>
  <c r="X16" i="17"/>
  <c r="X11" i="17"/>
  <c r="X17" i="17"/>
  <c r="X15" i="17"/>
  <c r="X18" i="17"/>
  <c r="X21" i="17"/>
  <c r="X28" i="17"/>
  <c r="X23" i="17"/>
  <c r="W18" i="18"/>
  <c r="W16" i="18"/>
  <c r="W24" i="18"/>
  <c r="W17" i="18"/>
  <c r="W28" i="18"/>
  <c r="W15" i="18"/>
  <c r="W26" i="18"/>
  <c r="W32" i="18"/>
  <c r="X7" i="18"/>
  <c r="X33" i="18" s="1"/>
  <c r="W6" i="18"/>
  <c r="W14" i="18"/>
  <c r="W22" i="18"/>
  <c r="W35" i="18"/>
  <c r="W31" i="18"/>
  <c r="W9" i="18"/>
  <c r="W12" i="18"/>
  <c r="W19" i="18"/>
  <c r="W21" i="18"/>
  <c r="W23" i="18"/>
  <c r="W29" i="18"/>
  <c r="W33" i="18"/>
  <c r="W11" i="18"/>
  <c r="W13" i="18"/>
  <c r="W20" i="18"/>
  <c r="W25" i="18"/>
  <c r="W27" i="18"/>
  <c r="W30" i="18"/>
  <c r="Y9" i="17" l="1"/>
  <c r="Y26" i="17"/>
  <c r="Y27" i="17"/>
  <c r="Y23" i="17"/>
  <c r="Y33" i="17"/>
  <c r="Y32" i="17"/>
  <c r="Y18" i="17"/>
  <c r="Y28" i="17"/>
  <c r="Y12" i="17"/>
  <c r="Y22" i="17"/>
  <c r="Y31" i="17"/>
  <c r="Y34" i="17"/>
  <c r="Y15" i="17"/>
  <c r="Y30" i="17"/>
  <c r="Y29" i="17"/>
  <c r="Y14" i="17"/>
  <c r="Y24" i="17"/>
  <c r="Y16" i="17"/>
  <c r="Y17" i="17"/>
  <c r="Y20" i="17"/>
  <c r="Y11" i="17"/>
  <c r="Z7" i="17"/>
  <c r="Z24" i="17" s="1"/>
  <c r="Y13" i="17"/>
  <c r="Y19" i="17"/>
  <c r="Y35" i="17"/>
  <c r="Y21" i="17"/>
  <c r="X13" i="18"/>
  <c r="X26" i="18"/>
  <c r="X30" i="18"/>
  <c r="X17" i="18"/>
  <c r="X11" i="18"/>
  <c r="X34" i="18"/>
  <c r="X28" i="18"/>
  <c r="X16" i="18"/>
  <c r="X15" i="18"/>
  <c r="X31" i="18"/>
  <c r="X35" i="18"/>
  <c r="X25" i="18"/>
  <c r="X29" i="18"/>
  <c r="X18" i="18"/>
  <c r="X20" i="18"/>
  <c r="X23" i="18"/>
  <c r="X32" i="18"/>
  <c r="X21" i="18"/>
  <c r="X14" i="18"/>
  <c r="X22" i="18"/>
  <c r="Y7" i="18"/>
  <c r="Y31" i="18" s="1"/>
  <c r="X12" i="18"/>
  <c r="X9" i="18"/>
  <c r="X19" i="18"/>
  <c r="X24" i="18"/>
  <c r="X27" i="18"/>
  <c r="Z14" i="17" l="1"/>
  <c r="Z12" i="17"/>
  <c r="Z16" i="17"/>
  <c r="Z13" i="17"/>
  <c r="Z17" i="17"/>
  <c r="Z27" i="17"/>
  <c r="Z26" i="17"/>
  <c r="Z28" i="17"/>
  <c r="Z29" i="17"/>
  <c r="Z30" i="17"/>
  <c r="Z32" i="17"/>
  <c r="Z22" i="17"/>
  <c r="Z15" i="17"/>
  <c r="Z34" i="17"/>
  <c r="Z25" i="17"/>
  <c r="Z21" i="17"/>
  <c r="Z20" i="17"/>
  <c r="Z19" i="17"/>
  <c r="Z31" i="17"/>
  <c r="Z9" i="17"/>
  <c r="Z18" i="17"/>
  <c r="Z33" i="17"/>
  <c r="Z11" i="17"/>
  <c r="Z23" i="17"/>
  <c r="Z35" i="17"/>
  <c r="AA7" i="17"/>
  <c r="AA30" i="17" s="1"/>
  <c r="Y20" i="18"/>
  <c r="Y19" i="18"/>
  <c r="Y23" i="18"/>
  <c r="Y27" i="18"/>
  <c r="Y9" i="18"/>
  <c r="Y16" i="18"/>
  <c r="Y28" i="18"/>
  <c r="Y12" i="18"/>
  <c r="Y21" i="18"/>
  <c r="Y26" i="18"/>
  <c r="Y11" i="18"/>
  <c r="Y34" i="18"/>
  <c r="Y25" i="18"/>
  <c r="Y33" i="18"/>
  <c r="Z7" i="18"/>
  <c r="Z34" i="18" s="1"/>
  <c r="Y24" i="18"/>
  <c r="Y30" i="18"/>
  <c r="Y18" i="18"/>
  <c r="Y22" i="18"/>
  <c r="Y29" i="18"/>
  <c r="Y35" i="18"/>
  <c r="Y13" i="18"/>
  <c r="Y15" i="18"/>
  <c r="Y17" i="18"/>
  <c r="Y14" i="18"/>
  <c r="Y32" i="18"/>
  <c r="AA17" i="17"/>
  <c r="AA16" i="17"/>
  <c r="AA25" i="17"/>
  <c r="AA14" i="17" l="1"/>
  <c r="AA21" i="17"/>
  <c r="AA22" i="17"/>
  <c r="AA11" i="17"/>
  <c r="AA31" i="17"/>
  <c r="AA15" i="17"/>
  <c r="AA24" i="17"/>
  <c r="AA29" i="17"/>
  <c r="AA32" i="17"/>
  <c r="AA34" i="17"/>
  <c r="AA18" i="17"/>
  <c r="AA9" i="17"/>
  <c r="AA33" i="17"/>
  <c r="AA28" i="17"/>
  <c r="AA20" i="17"/>
  <c r="AA35" i="17"/>
  <c r="AA23" i="17"/>
  <c r="AB7" i="17"/>
  <c r="AB16" i="17" s="1"/>
  <c r="AA27" i="17"/>
  <c r="AA19" i="17"/>
  <c r="AA26" i="17"/>
  <c r="AA12" i="17"/>
  <c r="AA13" i="17"/>
  <c r="Z35" i="18"/>
  <c r="Z28" i="18"/>
  <c r="Z16" i="18"/>
  <c r="Z20" i="18"/>
  <c r="Z23" i="18"/>
  <c r="Z33" i="18"/>
  <c r="Z9" i="18"/>
  <c r="Z27" i="18"/>
  <c r="Z22" i="18"/>
  <c r="Z21" i="18"/>
  <c r="Z25" i="18"/>
  <c r="Z12" i="18"/>
  <c r="Z13" i="18"/>
  <c r="Z31" i="18"/>
  <c r="Z19" i="18"/>
  <c r="Z14" i="18"/>
  <c r="Z17" i="18"/>
  <c r="Z18" i="18"/>
  <c r="Z29" i="18"/>
  <c r="Z32" i="18"/>
  <c r="Z11" i="18"/>
  <c r="AA7" i="18"/>
  <c r="AA35" i="18" s="1"/>
  <c r="Z15" i="18"/>
  <c r="Z26" i="18"/>
  <c r="Z24" i="18"/>
  <c r="Z30" i="18"/>
  <c r="AC7" i="17" l="1"/>
  <c r="AC25" i="17" s="1"/>
  <c r="AB15" i="17"/>
  <c r="AB12" i="17"/>
  <c r="AB23" i="17"/>
  <c r="AB21" i="17"/>
  <c r="AB17" i="17"/>
  <c r="AB28" i="17"/>
  <c r="AB29" i="17"/>
  <c r="AB30" i="17"/>
  <c r="AB26" i="17"/>
  <c r="AB22" i="17"/>
  <c r="AB9" i="17"/>
  <c r="AB31" i="17"/>
  <c r="AB11" i="17"/>
  <c r="AB24" i="17"/>
  <c r="AB20" i="17"/>
  <c r="AB13" i="17"/>
  <c r="AB33" i="17"/>
  <c r="AB32" i="17"/>
  <c r="AB18" i="17"/>
  <c r="AB25" i="17"/>
  <c r="AB34" i="17"/>
  <c r="AB14" i="17"/>
  <c r="AB27" i="17"/>
  <c r="AB35" i="17"/>
  <c r="AB19" i="17"/>
  <c r="AA14" i="18"/>
  <c r="AA16" i="18"/>
  <c r="AA32" i="18"/>
  <c r="AA22" i="18"/>
  <c r="AA13" i="18"/>
  <c r="AA28" i="18"/>
  <c r="AA15" i="18"/>
  <c r="AB7" i="18"/>
  <c r="AB33" i="18" s="1"/>
  <c r="AA19" i="18"/>
  <c r="AA17" i="18"/>
  <c r="AA23" i="18"/>
  <c r="AA29" i="18"/>
  <c r="AA33" i="18"/>
  <c r="AA9" i="18"/>
  <c r="AA12" i="18"/>
  <c r="AA25" i="18"/>
  <c r="AA21" i="18"/>
  <c r="AA27" i="18"/>
  <c r="AA30" i="18"/>
  <c r="AA34" i="18"/>
  <c r="AA11" i="18"/>
  <c r="AA18" i="18"/>
  <c r="AA20" i="18"/>
  <c r="AA26" i="18"/>
  <c r="AA24" i="18"/>
  <c r="AA31" i="18"/>
  <c r="AC26" i="17" l="1"/>
  <c r="AC14" i="17"/>
  <c r="AC27" i="17"/>
  <c r="AC9" i="17"/>
  <c r="AC32" i="17"/>
  <c r="AC30" i="17"/>
  <c r="AC15" i="17"/>
  <c r="AC31" i="17"/>
  <c r="AC35" i="17"/>
  <c r="AC21" i="17"/>
  <c r="AC29" i="17"/>
  <c r="AC23" i="17"/>
  <c r="AC33" i="17"/>
  <c r="AC16" i="17"/>
  <c r="AC28" i="17"/>
  <c r="AC19" i="17"/>
  <c r="AC24" i="17"/>
  <c r="AC11" i="17"/>
  <c r="AC34" i="17"/>
  <c r="AD7" i="17"/>
  <c r="AD33" i="17" s="1"/>
  <c r="AC22" i="17"/>
  <c r="AC17" i="17"/>
  <c r="AC12" i="17"/>
  <c r="AC13" i="17"/>
  <c r="AC20" i="17"/>
  <c r="AC18" i="17"/>
  <c r="AB21" i="18"/>
  <c r="AB30" i="18"/>
  <c r="AB18" i="18"/>
  <c r="AB34" i="18"/>
  <c r="AB25" i="18"/>
  <c r="AB14" i="18"/>
  <c r="AB26" i="18"/>
  <c r="AB17" i="18"/>
  <c r="AB9" i="18"/>
  <c r="AB24" i="18"/>
  <c r="AB15" i="18"/>
  <c r="AB22" i="18"/>
  <c r="AB31" i="18"/>
  <c r="AB35" i="18"/>
  <c r="AC7" i="18"/>
  <c r="AC33" i="18" s="1"/>
  <c r="AB11" i="18"/>
  <c r="AB29" i="18"/>
  <c r="AB20" i="18"/>
  <c r="AB23" i="18"/>
  <c r="AB32" i="18"/>
  <c r="AB12" i="18"/>
  <c r="AB16" i="18"/>
  <c r="AB13" i="18"/>
  <c r="AB19" i="18"/>
  <c r="AB28" i="18"/>
  <c r="AB27" i="18"/>
  <c r="AD35" i="17" l="1"/>
  <c r="AD34" i="17"/>
  <c r="AD9" i="17"/>
  <c r="AD12" i="17"/>
  <c r="AD15" i="17"/>
  <c r="AD16" i="17"/>
  <c r="AD17" i="17"/>
  <c r="AD20" i="17"/>
  <c r="AD6" i="17"/>
  <c r="AD13" i="17"/>
  <c r="AD21" i="17"/>
  <c r="AD22" i="17"/>
  <c r="AD23" i="17"/>
  <c r="AD11" i="17"/>
  <c r="AD19" i="17"/>
  <c r="AD24" i="17"/>
  <c r="AE7" i="17"/>
  <c r="AE22" i="17" s="1"/>
  <c r="AD26" i="17"/>
  <c r="AD27" i="17"/>
  <c r="AD28" i="17"/>
  <c r="AD29" i="17"/>
  <c r="AD25" i="17"/>
  <c r="AD30" i="17"/>
  <c r="AD31" i="17"/>
  <c r="AD14" i="17"/>
  <c r="AD32" i="17"/>
  <c r="AD18" i="17"/>
  <c r="AC29" i="18"/>
  <c r="AC35" i="18"/>
  <c r="AC15" i="18"/>
  <c r="AC9" i="18"/>
  <c r="AC25" i="18"/>
  <c r="AC22" i="18"/>
  <c r="AC24" i="18"/>
  <c r="AC11" i="18"/>
  <c r="AC16" i="18"/>
  <c r="AC23" i="18"/>
  <c r="AC14" i="18"/>
  <c r="AC30" i="18"/>
  <c r="AC26" i="18"/>
  <c r="AD7" i="18"/>
  <c r="AD35" i="18" s="1"/>
  <c r="AC13" i="18"/>
  <c r="AC17" i="18"/>
  <c r="AC27" i="18"/>
  <c r="AC19" i="18"/>
  <c r="AC32" i="18"/>
  <c r="AC31" i="18"/>
  <c r="AC12" i="18"/>
  <c r="AC20" i="18"/>
  <c r="AC21" i="18"/>
  <c r="AC18" i="18"/>
  <c r="AC28" i="18"/>
  <c r="AC34" i="18"/>
  <c r="AE34" i="17" l="1"/>
  <c r="AE33" i="17"/>
  <c r="AE32" i="17"/>
  <c r="AE31" i="17"/>
  <c r="AE30" i="17"/>
  <c r="AE9" i="17"/>
  <c r="AE14" i="17"/>
  <c r="AE19" i="17"/>
  <c r="AE24" i="17"/>
  <c r="AE27" i="17"/>
  <c r="AE20" i="17"/>
  <c r="AE13" i="17"/>
  <c r="AE25" i="17"/>
  <c r="AE26" i="17"/>
  <c r="AE28" i="17"/>
  <c r="AE16" i="17"/>
  <c r="AE17" i="17"/>
  <c r="AE21" i="17"/>
  <c r="AE35" i="17"/>
  <c r="AE11" i="17"/>
  <c r="AE18" i="17"/>
  <c r="AE15" i="17"/>
  <c r="AE23" i="17"/>
  <c r="AE12" i="17"/>
  <c r="AE29" i="17"/>
  <c r="AF7" i="17"/>
  <c r="AF34" i="17" s="1"/>
  <c r="AD14" i="18"/>
  <c r="AD22" i="18"/>
  <c r="AD29" i="18"/>
  <c r="AD15" i="18"/>
  <c r="AD32" i="18"/>
  <c r="AD9" i="18"/>
  <c r="AD26" i="18"/>
  <c r="AD11" i="18"/>
  <c r="AD19" i="18"/>
  <c r="AD20" i="18"/>
  <c r="AD23" i="18"/>
  <c r="AD27" i="18"/>
  <c r="AD25" i="18"/>
  <c r="AD33" i="18"/>
  <c r="AE7" i="18"/>
  <c r="AE35" i="18" s="1"/>
  <c r="AD6" i="18"/>
  <c r="AD17" i="18"/>
  <c r="AD13" i="18"/>
  <c r="AD24" i="18"/>
  <c r="AD30" i="18"/>
  <c r="AD34" i="18"/>
  <c r="AD12" i="18"/>
  <c r="AD16" i="18"/>
  <c r="AD21" i="18"/>
  <c r="AD18" i="18"/>
  <c r="AD28" i="18"/>
  <c r="AD31" i="18"/>
  <c r="AF11" i="17" l="1"/>
  <c r="AF16" i="17"/>
  <c r="AF18" i="17"/>
  <c r="AF17" i="17"/>
  <c r="AF21" i="17"/>
  <c r="AF35" i="17"/>
  <c r="AF28" i="17"/>
  <c r="AF23" i="17"/>
  <c r="AF22" i="17"/>
  <c r="AF27" i="17"/>
  <c r="AF9" i="17"/>
  <c r="AF29" i="17"/>
  <c r="AF19" i="17"/>
  <c r="AF30" i="17"/>
  <c r="AF24" i="17"/>
  <c r="AF12" i="17"/>
  <c r="AF15" i="17"/>
  <c r="AF32" i="17"/>
  <c r="AF13" i="17"/>
  <c r="AG7" i="17"/>
  <c r="AG25" i="17" s="1"/>
  <c r="AF26" i="17"/>
  <c r="AF31" i="17"/>
  <c r="AF20" i="17"/>
  <c r="AF33" i="17"/>
  <c r="AF14" i="17"/>
  <c r="AF25" i="17"/>
  <c r="AE14" i="18"/>
  <c r="AE17" i="18"/>
  <c r="AE32" i="18"/>
  <c r="AE22" i="18"/>
  <c r="AE11" i="18"/>
  <c r="AE28" i="18"/>
  <c r="AE13" i="18"/>
  <c r="AF7" i="18"/>
  <c r="AF32" i="18" s="1"/>
  <c r="AE19" i="18"/>
  <c r="AE21" i="18"/>
  <c r="AE23" i="18"/>
  <c r="AE29" i="18"/>
  <c r="AE33" i="18"/>
  <c r="AE18" i="18"/>
  <c r="AE12" i="18"/>
  <c r="AE20" i="18"/>
  <c r="AE25" i="18"/>
  <c r="AE27" i="18"/>
  <c r="AE30" i="18"/>
  <c r="AE34" i="18"/>
  <c r="AE9" i="18"/>
  <c r="AE15" i="18"/>
  <c r="AE16" i="18"/>
  <c r="AE26" i="18"/>
  <c r="AE24" i="18"/>
  <c r="AE31" i="18"/>
  <c r="AG12" i="17" l="1"/>
  <c r="AH7" i="17"/>
  <c r="AH27" i="17" s="1"/>
  <c r="AG21" i="17"/>
  <c r="AG33" i="17"/>
  <c r="AG19" i="17"/>
  <c r="AG27" i="17"/>
  <c r="AG28" i="17"/>
  <c r="AG29" i="17"/>
  <c r="AG30" i="17"/>
  <c r="AG11" i="17"/>
  <c r="AG13" i="17"/>
  <c r="AG34" i="17"/>
  <c r="AG22" i="17"/>
  <c r="AG23" i="17"/>
  <c r="AG9" i="17"/>
  <c r="AG32" i="17"/>
  <c r="AG18" i="17"/>
  <c r="AG26" i="17"/>
  <c r="AG24" i="17"/>
  <c r="AG31" i="17"/>
  <c r="AG35" i="17"/>
  <c r="AG14" i="17"/>
  <c r="AG15" i="17"/>
  <c r="AG16" i="17"/>
  <c r="AG20" i="17"/>
  <c r="AG17" i="17"/>
  <c r="AF24" i="18"/>
  <c r="AF33" i="18"/>
  <c r="AF28" i="18"/>
  <c r="AF11" i="18"/>
  <c r="AF16" i="18"/>
  <c r="AF14" i="18"/>
  <c r="AF26" i="18"/>
  <c r="AF34" i="18"/>
  <c r="AF25" i="18"/>
  <c r="AF19" i="18"/>
  <c r="AF27" i="18"/>
  <c r="AG7" i="18"/>
  <c r="AG26" i="18" s="1"/>
  <c r="AF29" i="18"/>
  <c r="AF30" i="18"/>
  <c r="AF13" i="18"/>
  <c r="AF12" i="18"/>
  <c r="AF21" i="18"/>
  <c r="AF15" i="18"/>
  <c r="AF22" i="18"/>
  <c r="AF31" i="18"/>
  <c r="AF35" i="18"/>
  <c r="AF17" i="18"/>
  <c r="AF9" i="18"/>
  <c r="AF18" i="18"/>
  <c r="AF20" i="18"/>
  <c r="AF23" i="18"/>
  <c r="AH35" i="17"/>
  <c r="AH34" i="17"/>
  <c r="AH33" i="17"/>
  <c r="AH32" i="17"/>
  <c r="AH31" i="17"/>
  <c r="AH30" i="17"/>
  <c r="AH29" i="17"/>
  <c r="AH28" i="17"/>
  <c r="AH18" i="17"/>
  <c r="AH21" i="17"/>
  <c r="AH17" i="17"/>
  <c r="AH16" i="17"/>
  <c r="AH14" i="17"/>
  <c r="AH20" i="17"/>
  <c r="AH13" i="17"/>
  <c r="AH25" i="17"/>
  <c r="AH12" i="17"/>
  <c r="AI7" i="17"/>
  <c r="AH11" i="17"/>
  <c r="AH22" i="17" l="1"/>
  <c r="AH9" i="17"/>
  <c r="AH23" i="17"/>
  <c r="AH19" i="17"/>
  <c r="AH24" i="17"/>
  <c r="AH26" i="17"/>
  <c r="AH15" i="17"/>
  <c r="AG14" i="18"/>
  <c r="AG30" i="18"/>
  <c r="AG13" i="18"/>
  <c r="AG12" i="18"/>
  <c r="AG16" i="18"/>
  <c r="AG22" i="18"/>
  <c r="AG34" i="18"/>
  <c r="AG15" i="18"/>
  <c r="AG21" i="18"/>
  <c r="AG33" i="18"/>
  <c r="AG9" i="18"/>
  <c r="AG27" i="18"/>
  <c r="AG29" i="18"/>
  <c r="AH7" i="18"/>
  <c r="AH35" i="18" s="1"/>
  <c r="AG31" i="18"/>
  <c r="AG24" i="18"/>
  <c r="AG18" i="18"/>
  <c r="AG19" i="18"/>
  <c r="AG28" i="18"/>
  <c r="AG32" i="18"/>
  <c r="AG20" i="18"/>
  <c r="AG11" i="18"/>
  <c r="AG17" i="18"/>
  <c r="AG35" i="18"/>
  <c r="AG23" i="18"/>
  <c r="AG25" i="18"/>
  <c r="AI35" i="17"/>
  <c r="AI34" i="17"/>
  <c r="AI33" i="17"/>
  <c r="AI32" i="17"/>
  <c r="AI31" i="17"/>
  <c r="AI30" i="17"/>
  <c r="AI27" i="17"/>
  <c r="AI26" i="17"/>
  <c r="AI23" i="17"/>
  <c r="AI22" i="17"/>
  <c r="AI18" i="17"/>
  <c r="AI28" i="17"/>
  <c r="AI21" i="17"/>
  <c r="AI17" i="17"/>
  <c r="AI16" i="17"/>
  <c r="AI25" i="17"/>
  <c r="AI20" i="17"/>
  <c r="AI24" i="17"/>
  <c r="AI15" i="17"/>
  <c r="AI13" i="17"/>
  <c r="AI12" i="17"/>
  <c r="AJ7" i="17"/>
  <c r="AI29" i="17"/>
  <c r="AI11" i="17"/>
  <c r="AI9" i="17"/>
  <c r="AI19" i="17"/>
  <c r="AI14" i="17"/>
  <c r="AH20" i="18" l="1"/>
  <c r="AH18" i="18"/>
  <c r="AH22" i="18"/>
  <c r="AH29" i="18"/>
  <c r="AH12" i="18"/>
  <c r="AH32" i="18"/>
  <c r="AH9" i="18"/>
  <c r="AH14" i="18"/>
  <c r="AH26" i="18"/>
  <c r="AH17" i="18"/>
  <c r="AH27" i="18"/>
  <c r="AH25" i="18"/>
  <c r="AH33" i="18"/>
  <c r="AH11" i="18"/>
  <c r="AH23" i="18"/>
  <c r="AH19" i="18"/>
  <c r="AH21" i="18"/>
  <c r="AH24" i="18"/>
  <c r="AH30" i="18"/>
  <c r="AH34" i="18"/>
  <c r="AH16" i="18"/>
  <c r="AI7" i="18"/>
  <c r="AI35" i="18" s="1"/>
  <c r="AH15" i="18"/>
  <c r="AH13" i="18"/>
  <c r="AH28" i="18"/>
  <c r="AH31" i="18"/>
  <c r="AJ35" i="17"/>
  <c r="AJ34" i="17"/>
  <c r="AJ33" i="17"/>
  <c r="AJ32" i="17"/>
  <c r="AJ31" i="17"/>
  <c r="AJ30" i="17"/>
  <c r="AJ26" i="17"/>
  <c r="AJ29" i="17"/>
  <c r="AJ28" i="17"/>
  <c r="AJ21" i="17"/>
  <c r="AJ17" i="17"/>
  <c r="AJ16" i="17"/>
  <c r="AJ25" i="17"/>
  <c r="AJ20" i="17"/>
  <c r="AJ15" i="17"/>
  <c r="AJ24" i="17"/>
  <c r="AJ22" i="17"/>
  <c r="AJ12" i="17"/>
  <c r="AK7" i="17"/>
  <c r="AJ27" i="17"/>
  <c r="AJ11" i="17"/>
  <c r="AJ9" i="17"/>
  <c r="AJ23" i="17"/>
  <c r="AJ19" i="17"/>
  <c r="AJ14" i="17"/>
  <c r="AJ13" i="17"/>
  <c r="AJ18" i="17"/>
  <c r="AI16" i="18" l="1"/>
  <c r="AI22" i="18"/>
  <c r="AI11" i="18"/>
  <c r="AI28" i="18"/>
  <c r="AI14" i="18"/>
  <c r="AI32" i="18"/>
  <c r="AI15" i="18"/>
  <c r="AI13" i="18"/>
  <c r="AI19" i="18"/>
  <c r="AI17" i="18"/>
  <c r="AI23" i="18"/>
  <c r="AI29" i="18"/>
  <c r="AI33" i="18"/>
  <c r="AI18" i="18"/>
  <c r="AJ7" i="18"/>
  <c r="AJ33" i="18" s="1"/>
  <c r="AI25" i="18"/>
  <c r="AI21" i="18"/>
  <c r="AI27" i="18"/>
  <c r="AI30" i="18"/>
  <c r="AI34" i="18"/>
  <c r="AI9" i="18"/>
  <c r="AI12" i="18"/>
  <c r="AI20" i="18"/>
  <c r="AI26" i="18"/>
  <c r="AI24" i="18"/>
  <c r="AI31" i="18"/>
  <c r="AK34" i="17"/>
  <c r="AK32" i="17"/>
  <c r="AK30" i="17"/>
  <c r="AK25" i="17"/>
  <c r="AK29" i="17"/>
  <c r="AK28" i="17"/>
  <c r="AK35" i="17"/>
  <c r="AK33" i="17"/>
  <c r="AK31" i="17"/>
  <c r="AK27" i="17"/>
  <c r="AK20" i="17"/>
  <c r="AK15" i="17"/>
  <c r="AK26" i="17"/>
  <c r="AK24" i="17"/>
  <c r="AK19" i="17"/>
  <c r="AK23" i="17"/>
  <c r="AK22" i="17"/>
  <c r="AK11" i="17"/>
  <c r="AK9" i="17"/>
  <c r="AK6" i="17"/>
  <c r="AK14" i="17"/>
  <c r="AK21" i="17"/>
  <c r="AK18" i="17"/>
  <c r="AK13" i="17"/>
  <c r="AK16" i="17"/>
  <c r="AL7" i="17"/>
  <c r="AK17" i="17"/>
  <c r="AK12" i="17"/>
  <c r="AJ34" i="18" l="1"/>
  <c r="AJ35" i="18"/>
  <c r="AJ18" i="18"/>
  <c r="AJ24" i="18"/>
  <c r="AJ13" i="18"/>
  <c r="AJ26" i="18"/>
  <c r="AJ14" i="18"/>
  <c r="AJ22" i="18"/>
  <c r="AJ16" i="18"/>
  <c r="AJ25" i="18"/>
  <c r="AJ30" i="18"/>
  <c r="AJ9" i="18"/>
  <c r="AJ15" i="18"/>
  <c r="AJ31" i="18"/>
  <c r="AJ12" i="18"/>
  <c r="AJ11" i="18"/>
  <c r="AJ28" i="18"/>
  <c r="AJ20" i="18"/>
  <c r="AJ23" i="18"/>
  <c r="AJ32" i="18"/>
  <c r="AK7" i="18"/>
  <c r="AK34" i="18" s="1"/>
  <c r="AJ21" i="18"/>
  <c r="AJ17" i="18"/>
  <c r="AJ19" i="18"/>
  <c r="AJ29" i="18"/>
  <c r="AJ27" i="18"/>
  <c r="AL35" i="17"/>
  <c r="AL34" i="17"/>
  <c r="AL33" i="17"/>
  <c r="AL32" i="17"/>
  <c r="AL31" i="17"/>
  <c r="AL30" i="17"/>
  <c r="AL29" i="17"/>
  <c r="AL28" i="17"/>
  <c r="AL27" i="17"/>
  <c r="AL26" i="17"/>
  <c r="AL25" i="17"/>
  <c r="AL24" i="17"/>
  <c r="AL19" i="17"/>
  <c r="AL23" i="17"/>
  <c r="AL22" i="17"/>
  <c r="AL18" i="17"/>
  <c r="AL21" i="17"/>
  <c r="AL20" i="17"/>
  <c r="AL14" i="17"/>
  <c r="AL13" i="17"/>
  <c r="AL17" i="17"/>
  <c r="AL16" i="17"/>
  <c r="AL12" i="17"/>
  <c r="AM7" i="17"/>
  <c r="AL15" i="17"/>
  <c r="AL11" i="17"/>
  <c r="AL9" i="17"/>
  <c r="AK12" i="18" l="1"/>
  <c r="AK9" i="18"/>
  <c r="AK11" i="18"/>
  <c r="AK15" i="18"/>
  <c r="AK20" i="18"/>
  <c r="AK21" i="18"/>
  <c r="AK22" i="18"/>
  <c r="AK24" i="18"/>
  <c r="AK19" i="18"/>
  <c r="AK35" i="18"/>
  <c r="AK6" i="18"/>
  <c r="AK23" i="18"/>
  <c r="AK16" i="18"/>
  <c r="AK14" i="18"/>
  <c r="AK31" i="18"/>
  <c r="AK28" i="18"/>
  <c r="AK26" i="18"/>
  <c r="AK29" i="18"/>
  <c r="AK30" i="18"/>
  <c r="AL7" i="18"/>
  <c r="AL34" i="18" s="1"/>
  <c r="AK13" i="18"/>
  <c r="AK17" i="18"/>
  <c r="AK18" i="18"/>
  <c r="AK27" i="18"/>
  <c r="AK33" i="18"/>
  <c r="AK32" i="18"/>
  <c r="AK25" i="18"/>
  <c r="AM35" i="17"/>
  <c r="AM34" i="17"/>
  <c r="AM33" i="17"/>
  <c r="AM32" i="17"/>
  <c r="AM31" i="17"/>
  <c r="AM30" i="17"/>
  <c r="AM27" i="17"/>
  <c r="AM26" i="17"/>
  <c r="AM28" i="17"/>
  <c r="AM23" i="17"/>
  <c r="AM22" i="17"/>
  <c r="AM18" i="17"/>
  <c r="AM21" i="17"/>
  <c r="AM17" i="17"/>
  <c r="AM16" i="17"/>
  <c r="AM29" i="17"/>
  <c r="AM20" i="17"/>
  <c r="AM13" i="17"/>
  <c r="AM25" i="17"/>
  <c r="AM19" i="17"/>
  <c r="AM12" i="17"/>
  <c r="AN7" i="17"/>
  <c r="AM24" i="17"/>
  <c r="AM15" i="17"/>
  <c r="AM11" i="17"/>
  <c r="AM9" i="17"/>
  <c r="AM14" i="17"/>
  <c r="AM7" i="18" l="1"/>
  <c r="AM22" i="18" s="1"/>
  <c r="AL28" i="18"/>
  <c r="AL17" i="18"/>
  <c r="AL35" i="18"/>
  <c r="AL29" i="18"/>
  <c r="AL14" i="18"/>
  <c r="AL22" i="18"/>
  <c r="AL25" i="18"/>
  <c r="AL19" i="18"/>
  <c r="AL23" i="18"/>
  <c r="AL30" i="18"/>
  <c r="AL12" i="18"/>
  <c r="AL16" i="18"/>
  <c r="AL13" i="18"/>
  <c r="AL31" i="18"/>
  <c r="AL15" i="18"/>
  <c r="AL18" i="18"/>
  <c r="AL32" i="18"/>
  <c r="AL9" i="18"/>
  <c r="AL20" i="18"/>
  <c r="AL27" i="18"/>
  <c r="AL33" i="18"/>
  <c r="AL21" i="18"/>
  <c r="AL11" i="18"/>
  <c r="AL26" i="18"/>
  <c r="AL24" i="18"/>
  <c r="AM31" i="18"/>
  <c r="AM30" i="18"/>
  <c r="AM29" i="18"/>
  <c r="AM28" i="18"/>
  <c r="AM24" i="18"/>
  <c r="AM27" i="18"/>
  <c r="AM23" i="18"/>
  <c r="AM20" i="18"/>
  <c r="AM19" i="18"/>
  <c r="AM14" i="18"/>
  <c r="AM15" i="18"/>
  <c r="AM13" i="18"/>
  <c r="AM12" i="18"/>
  <c r="AN7" i="18"/>
  <c r="AN35" i="17"/>
  <c r="AN34" i="17"/>
  <c r="AN33" i="17"/>
  <c r="AN32" i="17"/>
  <c r="AN31" i="17"/>
  <c r="AN30" i="17"/>
  <c r="AN26" i="17"/>
  <c r="AN29" i="17"/>
  <c r="AN28" i="17"/>
  <c r="AN21" i="17"/>
  <c r="AN17" i="17"/>
  <c r="AN16" i="17"/>
  <c r="AN20" i="17"/>
  <c r="AN15" i="17"/>
  <c r="AN27" i="17"/>
  <c r="AN25" i="17"/>
  <c r="AN24" i="17"/>
  <c r="AN19" i="17"/>
  <c r="AN12" i="17"/>
  <c r="AO7" i="17"/>
  <c r="AN23" i="17"/>
  <c r="AN18" i="17"/>
  <c r="AN11" i="17"/>
  <c r="AN9" i="17"/>
  <c r="AN14" i="17"/>
  <c r="AN22" i="17"/>
  <c r="AN13" i="17"/>
  <c r="AM16" i="18" l="1"/>
  <c r="AM17" i="18"/>
  <c r="AM33" i="18"/>
  <c r="AM9" i="18"/>
  <c r="AM21" i="18"/>
  <c r="AM34" i="18"/>
  <c r="AM32" i="18"/>
  <c r="AM11" i="18"/>
  <c r="AM25" i="18"/>
  <c r="AM35" i="18"/>
  <c r="AM18" i="18"/>
  <c r="AM26" i="18"/>
  <c r="AN35" i="18"/>
  <c r="AN34" i="18"/>
  <c r="AN33" i="18"/>
  <c r="AN32" i="18"/>
  <c r="AN31" i="18"/>
  <c r="AN30" i="18"/>
  <c r="AN27" i="18"/>
  <c r="AN23" i="18"/>
  <c r="AN22" i="18"/>
  <c r="AN26" i="18"/>
  <c r="AN25" i="18"/>
  <c r="AN24" i="18"/>
  <c r="AN20" i="18"/>
  <c r="AN15" i="18"/>
  <c r="AN28" i="18"/>
  <c r="AN19" i="18"/>
  <c r="AN18" i="18"/>
  <c r="AN14" i="18"/>
  <c r="AN11" i="18"/>
  <c r="AN9" i="18"/>
  <c r="AN17" i="18"/>
  <c r="AN16" i="18"/>
  <c r="AN13" i="18"/>
  <c r="AN12" i="18"/>
  <c r="AO7" i="18"/>
  <c r="AN29" i="18"/>
  <c r="AN21" i="18"/>
  <c r="AO25" i="17"/>
  <c r="AO35" i="17"/>
  <c r="AO33" i="17"/>
  <c r="AO31" i="17"/>
  <c r="AO29" i="17"/>
  <c r="AO28" i="17"/>
  <c r="AO27" i="17"/>
  <c r="AO34" i="17"/>
  <c r="AO26" i="17"/>
  <c r="AO20" i="17"/>
  <c r="AO15" i="17"/>
  <c r="AO24" i="17"/>
  <c r="AO19" i="17"/>
  <c r="AO30" i="17"/>
  <c r="AO23" i="17"/>
  <c r="AO22" i="17"/>
  <c r="AO18" i="17"/>
  <c r="AO11" i="17"/>
  <c r="AO9" i="17"/>
  <c r="AO21" i="17"/>
  <c r="AO17" i="17"/>
  <c r="AO16" i="17"/>
  <c r="AO14" i="17"/>
  <c r="AO32" i="17"/>
  <c r="AO13" i="17"/>
  <c r="AP7" i="17"/>
  <c r="AO12" i="17"/>
  <c r="AO26" i="18" l="1"/>
  <c r="AO35" i="18"/>
  <c r="AO33" i="18"/>
  <c r="AO31" i="18"/>
  <c r="AO25" i="18"/>
  <c r="AO29" i="18"/>
  <c r="AO28" i="18"/>
  <c r="AO34" i="18"/>
  <c r="AO23" i="18"/>
  <c r="AO22" i="18"/>
  <c r="AO19" i="18"/>
  <c r="AO14" i="18"/>
  <c r="AO18" i="18"/>
  <c r="AO30" i="18"/>
  <c r="AO21" i="18"/>
  <c r="AO17" i="18"/>
  <c r="AO16" i="18"/>
  <c r="AO20" i="18"/>
  <c r="AO11" i="18"/>
  <c r="AO9" i="18"/>
  <c r="AO27" i="18"/>
  <c r="AO24" i="18"/>
  <c r="AO15" i="18"/>
  <c r="AO32" i="18"/>
  <c r="AO13" i="18"/>
  <c r="AO12" i="18"/>
  <c r="AP7" i="18"/>
  <c r="AP35" i="17"/>
  <c r="AP34" i="17"/>
  <c r="AP33" i="17"/>
  <c r="AP32" i="17"/>
  <c r="AP31" i="17"/>
  <c r="AP30" i="17"/>
  <c r="AP29" i="17"/>
  <c r="AP28" i="17"/>
  <c r="AP27" i="17"/>
  <c r="AP26" i="17"/>
  <c r="AP24" i="17"/>
  <c r="AP19" i="17"/>
  <c r="AP25" i="17"/>
  <c r="AP23" i="17"/>
  <c r="AP22" i="17"/>
  <c r="AP18" i="17"/>
  <c r="AP21" i="17"/>
  <c r="AP17" i="17"/>
  <c r="AP16" i="17"/>
  <c r="AP14" i="17"/>
  <c r="AP15" i="17"/>
  <c r="AP13" i="17"/>
  <c r="AP20" i="17"/>
  <c r="AP12" i="17"/>
  <c r="AQ7" i="17"/>
  <c r="AP11" i="17"/>
  <c r="AP9" i="17"/>
  <c r="AP35" i="18" l="1"/>
  <c r="AP34" i="18"/>
  <c r="AP33" i="18"/>
  <c r="AP32" i="18"/>
  <c r="AP31" i="18"/>
  <c r="AP30" i="18"/>
  <c r="AP25" i="18"/>
  <c r="AP29" i="18"/>
  <c r="AP28" i="18"/>
  <c r="AP24" i="18"/>
  <c r="AP27" i="18"/>
  <c r="AP18" i="18"/>
  <c r="AP13" i="18"/>
  <c r="AP26" i="18"/>
  <c r="AP21" i="18"/>
  <c r="AP17" i="18"/>
  <c r="AP20" i="18"/>
  <c r="AP15" i="18"/>
  <c r="AP14" i="18"/>
  <c r="AP22" i="18"/>
  <c r="AP12" i="18"/>
  <c r="AQ7" i="18"/>
  <c r="AP23" i="18"/>
  <c r="AP19" i="18"/>
  <c r="AP16" i="18"/>
  <c r="AP11" i="18"/>
  <c r="AP9" i="18"/>
  <c r="AQ35" i="17"/>
  <c r="AQ34" i="17"/>
  <c r="AQ33" i="17"/>
  <c r="AQ32" i="17"/>
  <c r="AQ31" i="17"/>
  <c r="AQ30" i="17"/>
  <c r="AQ27" i="17"/>
  <c r="AQ26" i="17"/>
  <c r="AQ25" i="17"/>
  <c r="AQ23" i="17"/>
  <c r="AQ22" i="17"/>
  <c r="AQ18" i="17"/>
  <c r="AQ29" i="17"/>
  <c r="AQ21" i="17"/>
  <c r="AQ17" i="17"/>
  <c r="AQ16" i="17"/>
  <c r="AQ20" i="17"/>
  <c r="AQ15" i="17"/>
  <c r="AQ13" i="17"/>
  <c r="AQ28" i="17"/>
  <c r="AQ12" i="17"/>
  <c r="AR7" i="17"/>
  <c r="AQ19" i="17"/>
  <c r="AQ24" i="17"/>
  <c r="AQ11" i="17"/>
  <c r="AQ9" i="17"/>
  <c r="AQ14" i="17"/>
  <c r="AQ35" i="18" l="1"/>
  <c r="AQ34" i="18"/>
  <c r="AQ33" i="18"/>
  <c r="AQ32" i="18"/>
  <c r="AQ31" i="18"/>
  <c r="AQ30" i="18"/>
  <c r="AQ29" i="18"/>
  <c r="AQ28" i="18"/>
  <c r="AQ24" i="18"/>
  <c r="AQ27" i="18"/>
  <c r="AQ23" i="18"/>
  <c r="AQ22" i="18"/>
  <c r="AQ26" i="18"/>
  <c r="AQ21" i="18"/>
  <c r="AQ17" i="18"/>
  <c r="AQ16" i="18"/>
  <c r="AQ20" i="18"/>
  <c r="AQ19" i="18"/>
  <c r="AQ14" i="18"/>
  <c r="AQ25" i="18"/>
  <c r="AQ18" i="18"/>
  <c r="AQ12" i="18"/>
  <c r="AR7" i="18"/>
  <c r="AQ13" i="18"/>
  <c r="AQ11" i="18"/>
  <c r="AQ9" i="18"/>
  <c r="AQ15" i="18"/>
  <c r="AR35" i="17"/>
  <c r="AR34" i="17"/>
  <c r="AR33" i="17"/>
  <c r="AR32" i="17"/>
  <c r="AR31" i="17"/>
  <c r="AR30" i="17"/>
  <c r="AR26" i="17"/>
  <c r="AR29" i="17"/>
  <c r="AR28" i="17"/>
  <c r="AR21" i="17"/>
  <c r="AR17" i="17"/>
  <c r="AR16" i="17"/>
  <c r="AR27" i="17"/>
  <c r="AR20" i="17"/>
  <c r="AR15" i="17"/>
  <c r="AR24" i="17"/>
  <c r="AR25" i="17"/>
  <c r="AR23" i="17"/>
  <c r="AR12" i="17"/>
  <c r="AS7" i="17"/>
  <c r="AR11" i="17"/>
  <c r="AR9" i="17"/>
  <c r="AR22" i="17"/>
  <c r="AR19" i="17"/>
  <c r="AR14" i="17"/>
  <c r="AR6" i="17"/>
  <c r="AR18" i="17"/>
  <c r="AR13" i="17"/>
  <c r="AR35" i="18" l="1"/>
  <c r="AR34" i="18"/>
  <c r="AR33" i="18"/>
  <c r="AR32" i="18"/>
  <c r="AR31" i="18"/>
  <c r="AR30" i="18"/>
  <c r="AR27" i="18"/>
  <c r="AR23" i="18"/>
  <c r="AR22" i="18"/>
  <c r="AR26" i="18"/>
  <c r="AR25" i="18"/>
  <c r="AR28" i="18"/>
  <c r="AR20" i="18"/>
  <c r="AR15" i="18"/>
  <c r="AR19" i="18"/>
  <c r="AR29" i="18"/>
  <c r="AR24" i="18"/>
  <c r="AR18" i="18"/>
  <c r="AR13" i="18"/>
  <c r="AR11" i="18"/>
  <c r="AR9" i="18"/>
  <c r="AR12" i="18"/>
  <c r="AS7" i="18"/>
  <c r="AR21" i="18"/>
  <c r="AR16" i="18"/>
  <c r="AR17" i="18"/>
  <c r="AR14" i="18"/>
  <c r="AR6" i="18"/>
  <c r="AS35" i="17"/>
  <c r="AS33" i="17"/>
  <c r="AS31" i="17"/>
  <c r="AS25" i="17"/>
  <c r="AS29" i="17"/>
  <c r="AS28" i="17"/>
  <c r="AS34" i="17"/>
  <c r="AS32" i="17"/>
  <c r="AS30" i="17"/>
  <c r="AS27" i="17"/>
  <c r="AS20" i="17"/>
  <c r="AS15" i="17"/>
  <c r="AS24" i="17"/>
  <c r="AS19" i="17"/>
  <c r="AS23" i="17"/>
  <c r="AS22" i="17"/>
  <c r="AS26" i="17"/>
  <c r="AS21" i="17"/>
  <c r="AS11" i="17"/>
  <c r="AS9" i="17"/>
  <c r="AS14" i="17"/>
  <c r="AS18" i="17"/>
  <c r="AS13" i="17"/>
  <c r="AS16" i="17"/>
  <c r="AS12" i="17"/>
  <c r="AS17" i="17"/>
  <c r="AT7" i="17"/>
  <c r="AS35" i="18" l="1"/>
  <c r="AS33" i="18"/>
  <c r="AS31" i="18"/>
  <c r="AS26" i="18"/>
  <c r="AS25" i="18"/>
  <c r="AS34" i="18"/>
  <c r="AS32" i="18"/>
  <c r="AS30" i="18"/>
  <c r="AS29" i="18"/>
  <c r="AS28" i="18"/>
  <c r="AS19" i="18"/>
  <c r="AS14" i="18"/>
  <c r="AS24" i="18"/>
  <c r="AS18" i="18"/>
  <c r="AS27" i="18"/>
  <c r="AS23" i="18"/>
  <c r="AS22" i="18"/>
  <c r="AS21" i="18"/>
  <c r="AS17" i="18"/>
  <c r="AS16" i="18"/>
  <c r="AS20" i="18"/>
  <c r="AS15" i="18"/>
  <c r="AS11" i="18"/>
  <c r="AS9" i="18"/>
  <c r="AS12" i="18"/>
  <c r="AT7" i="18"/>
  <c r="AS13" i="18"/>
  <c r="AT35" i="17"/>
  <c r="AT34" i="17"/>
  <c r="AT33" i="17"/>
  <c r="AT32" i="17"/>
  <c r="AT31" i="17"/>
  <c r="AT30" i="17"/>
  <c r="AT29" i="17"/>
  <c r="AT28" i="17"/>
  <c r="AT27" i="17"/>
  <c r="AT26" i="17"/>
  <c r="AT24" i="17"/>
  <c r="AT19" i="17"/>
  <c r="AT23" i="17"/>
  <c r="AT22" i="17"/>
  <c r="AT18" i="17"/>
  <c r="AT25" i="17"/>
  <c r="AT21" i="17"/>
  <c r="AT14" i="17"/>
  <c r="AT13" i="17"/>
  <c r="AT20" i="17"/>
  <c r="AT17" i="17"/>
  <c r="AT16" i="17"/>
  <c r="AT12" i="17"/>
  <c r="AU7" i="17"/>
  <c r="AT9" i="17"/>
  <c r="AT15" i="17"/>
  <c r="AT11" i="17"/>
  <c r="AT35" i="18" l="1"/>
  <c r="AT34" i="18"/>
  <c r="AT33" i="18"/>
  <c r="AT32" i="18"/>
  <c r="AT31" i="18"/>
  <c r="AT30" i="18"/>
  <c r="AT25" i="18"/>
  <c r="AT29" i="18"/>
  <c r="AT28" i="18"/>
  <c r="AT24" i="18"/>
  <c r="AT27" i="18"/>
  <c r="AT26" i="18"/>
  <c r="AT18" i="18"/>
  <c r="AT13" i="18"/>
  <c r="AT23" i="18"/>
  <c r="AT22" i="18"/>
  <c r="AT21" i="18"/>
  <c r="AT17" i="18"/>
  <c r="AT20" i="18"/>
  <c r="AT15" i="18"/>
  <c r="AT16" i="18"/>
  <c r="AT19" i="18"/>
  <c r="AT14" i="18"/>
  <c r="AT12" i="18"/>
  <c r="AU7" i="18"/>
  <c r="AT11" i="18"/>
  <c r="AT9" i="18"/>
  <c r="AU35" i="17"/>
  <c r="AU34" i="17"/>
  <c r="AU33" i="17"/>
  <c r="AU32" i="17"/>
  <c r="AU31" i="17"/>
  <c r="AU30" i="17"/>
  <c r="AU27" i="17"/>
  <c r="AU26" i="17"/>
  <c r="AU29" i="17"/>
  <c r="AU23" i="17"/>
  <c r="AU22" i="17"/>
  <c r="AU18" i="17"/>
  <c r="AU25" i="17"/>
  <c r="AU21" i="17"/>
  <c r="AU17" i="17"/>
  <c r="AU16" i="17"/>
  <c r="AU28" i="17"/>
  <c r="AU20" i="17"/>
  <c r="AU13" i="17"/>
  <c r="AU24" i="17"/>
  <c r="AU19" i="17"/>
  <c r="AU12" i="17"/>
  <c r="AV7" i="17"/>
  <c r="AU15" i="17"/>
  <c r="AU11" i="17"/>
  <c r="AU9" i="17"/>
  <c r="AU14" i="17"/>
  <c r="AU35" i="18" l="1"/>
  <c r="AU34" i="18"/>
  <c r="AU33" i="18"/>
  <c r="AU32" i="18"/>
  <c r="AU31" i="18"/>
  <c r="AU30" i="18"/>
  <c r="AU29" i="18"/>
  <c r="AU28" i="18"/>
  <c r="AU24" i="18"/>
  <c r="AU27" i="18"/>
  <c r="AU23" i="18"/>
  <c r="AU22" i="18"/>
  <c r="AU26" i="18"/>
  <c r="AU21" i="18"/>
  <c r="AU17" i="18"/>
  <c r="AU16" i="18"/>
  <c r="AU20" i="18"/>
  <c r="AU25" i="18"/>
  <c r="AU19" i="18"/>
  <c r="AU14" i="18"/>
  <c r="AU15" i="18"/>
  <c r="AU12" i="18"/>
  <c r="AV7" i="18"/>
  <c r="AU18" i="18"/>
  <c r="AU11" i="18"/>
  <c r="AU9" i="18"/>
  <c r="AU13" i="18"/>
  <c r="AV35" i="17"/>
  <c r="AV34" i="17"/>
  <c r="AV33" i="17"/>
  <c r="AV32" i="17"/>
  <c r="AV31" i="17"/>
  <c r="AV30" i="17"/>
  <c r="AV26" i="17"/>
  <c r="AV29" i="17"/>
  <c r="AV28" i="17"/>
  <c r="AV27" i="17"/>
  <c r="AV25" i="17"/>
  <c r="AV21" i="17"/>
  <c r="AV17" i="17"/>
  <c r="AV16" i="17"/>
  <c r="AV20" i="17"/>
  <c r="AV15" i="17"/>
  <c r="AV24" i="17"/>
  <c r="AV19" i="17"/>
  <c r="AV12" i="17"/>
  <c r="AW7" i="17"/>
  <c r="AV22" i="17"/>
  <c r="AV18" i="17"/>
  <c r="AV11" i="17"/>
  <c r="AV9" i="17"/>
  <c r="AV14" i="17"/>
  <c r="AV23" i="17"/>
  <c r="AV13" i="17"/>
  <c r="AV35" i="18" l="1"/>
  <c r="AV34" i="18"/>
  <c r="AV33" i="18"/>
  <c r="AV32" i="18"/>
  <c r="AV31" i="18"/>
  <c r="AV30" i="18"/>
  <c r="AV27" i="18"/>
  <c r="AV23" i="18"/>
  <c r="AV22" i="18"/>
  <c r="AV26" i="18"/>
  <c r="AV25" i="18"/>
  <c r="AV24" i="18"/>
  <c r="AV20" i="18"/>
  <c r="AV15" i="18"/>
  <c r="AV29" i="18"/>
  <c r="AV19" i="18"/>
  <c r="AV18" i="18"/>
  <c r="AV21" i="18"/>
  <c r="AV14" i="18"/>
  <c r="AV11" i="18"/>
  <c r="AV9" i="18"/>
  <c r="AW7" i="18"/>
  <c r="AV28" i="18"/>
  <c r="AV17" i="18"/>
  <c r="AV13" i="18"/>
  <c r="AV16" i="18"/>
  <c r="AV12" i="18"/>
  <c r="AW25" i="17"/>
  <c r="AW34" i="17"/>
  <c r="AW32" i="17"/>
  <c r="AW30" i="17"/>
  <c r="AW29" i="17"/>
  <c r="AW28" i="17"/>
  <c r="AW27" i="17"/>
  <c r="AW35" i="17"/>
  <c r="AW20" i="17"/>
  <c r="AW15" i="17"/>
  <c r="AW24" i="17"/>
  <c r="AW19" i="17"/>
  <c r="AW31" i="17"/>
  <c r="AW26" i="17"/>
  <c r="AW23" i="17"/>
  <c r="AW22" i="17"/>
  <c r="AW18" i="17"/>
  <c r="AW11" i="17"/>
  <c r="AW9" i="17"/>
  <c r="AW33" i="17"/>
  <c r="AW17" i="17"/>
  <c r="AW16" i="17"/>
  <c r="AW14" i="17"/>
  <c r="AW21" i="17"/>
  <c r="AW13" i="17"/>
  <c r="AX7" i="17"/>
  <c r="AW12" i="17"/>
  <c r="AW26" i="18" l="1"/>
  <c r="AW34" i="18"/>
  <c r="AW32" i="18"/>
  <c r="AW30" i="18"/>
  <c r="AW25" i="18"/>
  <c r="AW29" i="18"/>
  <c r="AW28" i="18"/>
  <c r="AW35" i="18"/>
  <c r="AW23" i="18"/>
  <c r="AW22" i="18"/>
  <c r="AW19" i="18"/>
  <c r="AW14" i="18"/>
  <c r="AW27" i="18"/>
  <c r="AW18" i="18"/>
  <c r="AW31" i="18"/>
  <c r="AW21" i="18"/>
  <c r="AW17" i="18"/>
  <c r="AW16" i="18"/>
  <c r="AW13" i="18"/>
  <c r="AW15" i="18"/>
  <c r="AW11" i="18"/>
  <c r="AW33" i="18"/>
  <c r="AW24" i="18"/>
  <c r="AW20" i="18"/>
  <c r="AW12" i="18"/>
  <c r="AX7" i="18"/>
  <c r="AW9" i="18"/>
  <c r="AX35" i="17"/>
  <c r="AX34" i="17"/>
  <c r="AX33" i="17"/>
  <c r="AX32" i="17"/>
  <c r="AX31" i="17"/>
  <c r="AX30" i="17"/>
  <c r="AX29" i="17"/>
  <c r="AX28" i="17"/>
  <c r="AX27" i="17"/>
  <c r="AX26" i="17"/>
  <c r="AX24" i="17"/>
  <c r="AX19" i="17"/>
  <c r="AX23" i="17"/>
  <c r="AX22" i="17"/>
  <c r="AX18" i="17"/>
  <c r="AX21" i="17"/>
  <c r="AX17" i="17"/>
  <c r="AX16" i="17"/>
  <c r="AX14" i="17"/>
  <c r="AX20" i="17"/>
  <c r="AX15" i="17"/>
  <c r="AX13" i="17"/>
  <c r="AX12" i="17"/>
  <c r="AY7" i="17"/>
  <c r="AX25" i="17"/>
  <c r="AX9" i="17"/>
  <c r="AX11" i="17"/>
  <c r="AX35" i="18" l="1"/>
  <c r="AX34" i="18"/>
  <c r="AX33" i="18"/>
  <c r="AX32" i="18"/>
  <c r="AX31" i="18"/>
  <c r="AX30" i="18"/>
  <c r="AX25" i="18"/>
  <c r="AX29" i="18"/>
  <c r="AX28" i="18"/>
  <c r="AX24" i="18"/>
  <c r="AX27" i="18"/>
  <c r="AX18" i="18"/>
  <c r="AX13" i="18"/>
  <c r="AX21" i="18"/>
  <c r="AX17" i="18"/>
  <c r="AX20" i="18"/>
  <c r="AX15" i="18"/>
  <c r="AX26" i="18"/>
  <c r="AX22" i="18"/>
  <c r="AX19" i="18"/>
  <c r="AX23" i="18"/>
  <c r="AX12" i="18"/>
  <c r="AY7" i="18"/>
  <c r="AX14" i="18"/>
  <c r="AX16" i="18"/>
  <c r="AX11" i="18"/>
  <c r="AX9" i="18"/>
  <c r="AY35" i="17"/>
  <c r="AY34" i="17"/>
  <c r="AY33" i="17"/>
  <c r="AY32" i="17"/>
  <c r="AY31" i="17"/>
  <c r="AY30" i="17"/>
  <c r="AY27" i="17"/>
  <c r="AY26" i="17"/>
  <c r="AY23" i="17"/>
  <c r="AY22" i="17"/>
  <c r="AY18" i="17"/>
  <c r="AY28" i="17"/>
  <c r="AY21" i="17"/>
  <c r="AY17" i="17"/>
  <c r="AY16" i="17"/>
  <c r="AY25" i="17"/>
  <c r="AY20" i="17"/>
  <c r="AY24" i="17"/>
  <c r="AY15" i="17"/>
  <c r="AY13" i="17"/>
  <c r="AY29" i="17"/>
  <c r="AY12" i="17"/>
  <c r="AZ7" i="17"/>
  <c r="AY11" i="17"/>
  <c r="AY9" i="17"/>
  <c r="AY6" i="17"/>
  <c r="AY19" i="17"/>
  <c r="AY14" i="17"/>
  <c r="AY35" i="18" l="1"/>
  <c r="AY34" i="18"/>
  <c r="AY33" i="18"/>
  <c r="AY32" i="18"/>
  <c r="AY31" i="18"/>
  <c r="AY30" i="18"/>
  <c r="AY29" i="18"/>
  <c r="AY28" i="18"/>
  <c r="AY24" i="18"/>
  <c r="AY27" i="18"/>
  <c r="AY23" i="18"/>
  <c r="AY22" i="18"/>
  <c r="AY26" i="18"/>
  <c r="AY21" i="18"/>
  <c r="AY17" i="18"/>
  <c r="AY16" i="18"/>
  <c r="AY25" i="18"/>
  <c r="AY20" i="18"/>
  <c r="AY19" i="18"/>
  <c r="AY14" i="18"/>
  <c r="AY12" i="18"/>
  <c r="AZ7" i="18"/>
  <c r="AY11" i="18"/>
  <c r="AY9" i="18"/>
  <c r="AY6" i="18"/>
  <c r="AY13" i="18"/>
  <c r="AY18" i="18"/>
  <c r="AY15" i="18"/>
  <c r="AZ35" i="17"/>
  <c r="AZ34" i="17"/>
  <c r="AZ33" i="17"/>
  <c r="AZ32" i="17"/>
  <c r="AZ31" i="17"/>
  <c r="AZ30" i="17"/>
  <c r="AZ26" i="17"/>
  <c r="AZ29" i="17"/>
  <c r="AZ28" i="17"/>
  <c r="AZ21" i="17"/>
  <c r="AZ17" i="17"/>
  <c r="AZ16" i="17"/>
  <c r="AZ25" i="17"/>
  <c r="AZ20" i="17"/>
  <c r="AZ15" i="17"/>
  <c r="AZ24" i="17"/>
  <c r="AZ27" i="17"/>
  <c r="AZ22" i="17"/>
  <c r="AZ12" i="17"/>
  <c r="BA7" i="17"/>
  <c r="AZ11" i="17"/>
  <c r="AZ9" i="17"/>
  <c r="AZ23" i="17"/>
  <c r="AZ19" i="17"/>
  <c r="AZ14" i="17"/>
  <c r="AZ13" i="17"/>
  <c r="AZ18" i="17"/>
  <c r="AZ35" i="18" l="1"/>
  <c r="AZ34" i="18"/>
  <c r="AZ33" i="18"/>
  <c r="AZ32" i="18"/>
  <c r="AZ31" i="18"/>
  <c r="AZ30" i="18"/>
  <c r="AZ27" i="18"/>
  <c r="AZ23" i="18"/>
  <c r="AZ22" i="18"/>
  <c r="AZ26" i="18"/>
  <c r="AZ21" i="18"/>
  <c r="AZ25" i="18"/>
  <c r="AZ29" i="18"/>
  <c r="AZ20" i="18"/>
  <c r="AZ15" i="18"/>
  <c r="AZ19" i="18"/>
  <c r="AZ28" i="18"/>
  <c r="AZ24" i="18"/>
  <c r="AZ18" i="18"/>
  <c r="AZ17" i="18"/>
  <c r="AZ11" i="18"/>
  <c r="AZ9" i="18"/>
  <c r="AZ16" i="18"/>
  <c r="AZ12" i="18"/>
  <c r="BA7" i="18"/>
  <c r="AZ14" i="18"/>
  <c r="AZ13" i="18"/>
  <c r="BA34" i="17"/>
  <c r="BA32" i="17"/>
  <c r="BA30" i="17"/>
  <c r="BA25" i="17"/>
  <c r="BA29" i="17"/>
  <c r="BA28" i="17"/>
  <c r="BA35" i="17"/>
  <c r="BA33" i="17"/>
  <c r="BA31" i="17"/>
  <c r="BA27" i="17"/>
  <c r="BA20" i="17"/>
  <c r="BA15" i="17"/>
  <c r="BA26" i="17"/>
  <c r="BA24" i="17"/>
  <c r="BA19" i="17"/>
  <c r="BA23" i="17"/>
  <c r="BA22" i="17"/>
  <c r="BA11" i="17"/>
  <c r="BA9" i="17"/>
  <c r="BA14" i="17"/>
  <c r="BA21" i="17"/>
  <c r="BA18" i="17"/>
  <c r="BA13" i="17"/>
  <c r="BA17" i="17"/>
  <c r="BB7" i="17"/>
  <c r="BA12" i="17"/>
  <c r="BA16" i="17"/>
  <c r="BA34" i="18" l="1"/>
  <c r="BA32" i="18"/>
  <c r="BA30" i="18"/>
  <c r="BA26" i="18"/>
  <c r="BA25" i="18"/>
  <c r="BA35" i="18"/>
  <c r="BA33" i="18"/>
  <c r="BA31" i="18"/>
  <c r="BA29" i="18"/>
  <c r="BA28" i="18"/>
  <c r="BA27" i="18"/>
  <c r="BA19" i="18"/>
  <c r="BA14" i="18"/>
  <c r="BA24" i="18"/>
  <c r="BA18" i="18"/>
  <c r="BA23" i="18"/>
  <c r="BA22" i="18"/>
  <c r="BA17" i="18"/>
  <c r="BA16" i="18"/>
  <c r="BA21" i="18"/>
  <c r="BA9" i="18"/>
  <c r="BA20" i="18"/>
  <c r="BA15" i="18"/>
  <c r="BA13" i="18"/>
  <c r="BA11" i="18"/>
  <c r="BA12" i="18"/>
  <c r="BB7" i="18"/>
  <c r="BB35" i="17"/>
  <c r="BB34" i="17"/>
  <c r="BB33" i="17"/>
  <c r="BB32" i="17"/>
  <c r="BB31" i="17"/>
  <c r="BB30" i="17"/>
  <c r="BB29" i="17"/>
  <c r="BB28" i="17"/>
  <c r="BB27" i="17"/>
  <c r="BB26" i="17"/>
  <c r="BB25" i="17"/>
  <c r="BB24" i="17"/>
  <c r="BB19" i="17"/>
  <c r="BB23" i="17"/>
  <c r="BB22" i="17"/>
  <c r="BB18" i="17"/>
  <c r="BB21" i="17"/>
  <c r="BB20" i="17"/>
  <c r="BB14" i="17"/>
  <c r="BB13" i="17"/>
  <c r="BB17" i="17"/>
  <c r="BB16" i="17"/>
  <c r="BB12" i="17"/>
  <c r="BC7" i="17"/>
  <c r="BB11" i="17"/>
  <c r="BB15" i="17"/>
  <c r="BB9" i="17"/>
  <c r="BB35" i="18" l="1"/>
  <c r="BB34" i="18"/>
  <c r="BB33" i="18"/>
  <c r="BB32" i="18"/>
  <c r="BB31" i="18"/>
  <c r="BB30" i="18"/>
  <c r="BB25" i="18"/>
  <c r="BB29" i="18"/>
  <c r="BB28" i="18"/>
  <c r="BB24" i="18"/>
  <c r="BB27" i="18"/>
  <c r="BB18" i="18"/>
  <c r="BB13" i="18"/>
  <c r="BB23" i="18"/>
  <c r="BB22" i="18"/>
  <c r="BB17" i="18"/>
  <c r="BB26" i="18"/>
  <c r="BB21" i="18"/>
  <c r="BB20" i="18"/>
  <c r="BB15" i="18"/>
  <c r="BB16" i="18"/>
  <c r="BB14" i="18"/>
  <c r="BB12" i="18"/>
  <c r="BC7" i="18"/>
  <c r="BB19" i="18"/>
  <c r="BB11" i="18"/>
  <c r="BB9" i="18"/>
  <c r="BC35" i="17"/>
  <c r="BC34" i="17"/>
  <c r="BC33" i="17"/>
  <c r="BC32" i="17"/>
  <c r="BC31" i="17"/>
  <c r="BC30" i="17"/>
  <c r="BC27" i="17"/>
  <c r="BC26" i="17"/>
  <c r="BC28" i="17"/>
  <c r="BC23" i="17"/>
  <c r="BC22" i="17"/>
  <c r="BC18" i="17"/>
  <c r="BC21" i="17"/>
  <c r="BC17" i="17"/>
  <c r="BC16" i="17"/>
  <c r="BC29" i="17"/>
  <c r="BC20" i="17"/>
  <c r="BC13" i="17"/>
  <c r="BC19" i="17"/>
  <c r="BC12" i="17"/>
  <c r="BD7" i="17"/>
  <c r="BC25" i="17"/>
  <c r="BC15" i="17"/>
  <c r="BC11" i="17"/>
  <c r="BC9" i="17"/>
  <c r="BC24" i="17"/>
  <c r="BC14" i="17"/>
  <c r="BC35" i="18" l="1"/>
  <c r="BC34" i="18"/>
  <c r="BC33" i="18"/>
  <c r="BC32" i="18"/>
  <c r="BC31" i="18"/>
  <c r="BC30" i="18"/>
  <c r="BC29" i="18"/>
  <c r="BC28" i="18"/>
  <c r="BC24" i="18"/>
  <c r="BC27" i="18"/>
  <c r="BC23" i="18"/>
  <c r="BC22" i="18"/>
  <c r="BC26" i="18"/>
  <c r="BC25" i="18"/>
  <c r="BC17" i="18"/>
  <c r="BC16" i="18"/>
  <c r="BC21" i="18"/>
  <c r="BC20" i="18"/>
  <c r="BC19" i="18"/>
  <c r="BC14" i="18"/>
  <c r="BC15" i="18"/>
  <c r="BC13" i="18"/>
  <c r="BC12" i="18"/>
  <c r="BD7" i="18"/>
  <c r="BC18" i="18"/>
  <c r="BC11" i="18"/>
  <c r="BC9" i="18"/>
  <c r="BD35" i="17"/>
  <c r="BD34" i="17"/>
  <c r="BD33" i="17"/>
  <c r="BD32" i="17"/>
  <c r="BD31" i="17"/>
  <c r="BD30" i="17"/>
  <c r="BD26" i="17"/>
  <c r="BD29" i="17"/>
  <c r="BD28" i="17"/>
  <c r="BD21" i="17"/>
  <c r="BD17" i="17"/>
  <c r="BD16" i="17"/>
  <c r="BD20" i="17"/>
  <c r="BD15" i="17"/>
  <c r="BD27" i="17"/>
  <c r="BD25" i="17"/>
  <c r="BD24" i="17"/>
  <c r="BD19" i="17"/>
  <c r="BD12" i="17"/>
  <c r="BE7" i="17"/>
  <c r="BD23" i="17"/>
  <c r="BD18" i="17"/>
  <c r="BD11" i="17"/>
  <c r="BD9" i="17"/>
  <c r="BD22" i="17"/>
  <c r="BD14" i="17"/>
  <c r="BD13" i="17"/>
  <c r="BD35" i="18" l="1"/>
  <c r="BD34" i="18"/>
  <c r="BD33" i="18"/>
  <c r="BD32" i="18"/>
  <c r="BD31" i="18"/>
  <c r="BD30" i="18"/>
  <c r="BD27" i="18"/>
  <c r="BD23" i="18"/>
  <c r="BD22" i="18"/>
  <c r="BD26" i="18"/>
  <c r="BD21" i="18"/>
  <c r="BD25" i="18"/>
  <c r="BD24" i="18"/>
  <c r="BD20" i="18"/>
  <c r="BD15" i="18"/>
  <c r="BD28" i="18"/>
  <c r="BD19" i="18"/>
  <c r="BD18" i="18"/>
  <c r="BD14" i="18"/>
  <c r="BD11" i="18"/>
  <c r="BD9" i="18"/>
  <c r="BD13" i="18"/>
  <c r="BD12" i="18"/>
  <c r="BD29" i="18"/>
  <c r="BD17" i="18"/>
  <c r="BD16" i="18"/>
  <c r="BE7" i="18"/>
  <c r="BE25" i="17"/>
  <c r="BE35" i="17"/>
  <c r="BE33" i="17"/>
  <c r="BE31" i="17"/>
  <c r="BE29" i="17"/>
  <c r="BE28" i="17"/>
  <c r="BE27" i="17"/>
  <c r="BE26" i="17"/>
  <c r="BE20" i="17"/>
  <c r="BE15" i="17"/>
  <c r="BE30" i="17"/>
  <c r="BE24" i="17"/>
  <c r="BE19" i="17"/>
  <c r="BE32" i="17"/>
  <c r="BE23" i="17"/>
  <c r="BE22" i="17"/>
  <c r="BE34" i="17"/>
  <c r="BE18" i="17"/>
  <c r="BE11" i="17"/>
  <c r="BE9" i="17"/>
  <c r="BE21" i="17"/>
  <c r="BE17" i="17"/>
  <c r="BE16" i="17"/>
  <c r="BE14" i="17"/>
  <c r="BE13" i="17"/>
  <c r="BF7" i="17"/>
  <c r="BE12" i="17"/>
  <c r="BE26" i="18" l="1"/>
  <c r="BE21" i="18"/>
  <c r="BE35" i="18"/>
  <c r="BE33" i="18"/>
  <c r="BE31" i="18"/>
  <c r="BE25" i="18"/>
  <c r="BE29" i="18"/>
  <c r="BE28" i="18"/>
  <c r="BE23" i="18"/>
  <c r="BE22" i="18"/>
  <c r="BE19" i="18"/>
  <c r="BE14" i="18"/>
  <c r="BE30" i="18"/>
  <c r="BE18" i="18"/>
  <c r="BE32" i="18"/>
  <c r="BE17" i="18"/>
  <c r="BE16" i="18"/>
  <c r="BE34" i="18"/>
  <c r="BE27" i="18"/>
  <c r="BE20" i="18"/>
  <c r="BE11" i="18"/>
  <c r="BE24" i="18"/>
  <c r="BE9" i="18"/>
  <c r="BE13" i="18"/>
  <c r="BE12" i="18"/>
  <c r="BF7" i="18"/>
  <c r="BE15" i="18"/>
  <c r="BF35" i="17"/>
  <c r="BF34" i="17"/>
  <c r="BF33" i="17"/>
  <c r="BF32" i="17"/>
  <c r="BF31" i="17"/>
  <c r="BF30" i="17"/>
  <c r="BF29" i="17"/>
  <c r="BF28" i="17"/>
  <c r="BF27" i="17"/>
  <c r="BF26" i="17"/>
  <c r="BF24" i="17"/>
  <c r="BF19" i="17"/>
  <c r="BF25" i="17"/>
  <c r="BF23" i="17"/>
  <c r="BF22" i="17"/>
  <c r="BF18" i="17"/>
  <c r="BF21" i="17"/>
  <c r="BF17" i="17"/>
  <c r="BF16" i="17"/>
  <c r="BF14" i="17"/>
  <c r="BF15" i="17"/>
  <c r="BF13" i="17"/>
  <c r="BF6" i="17"/>
  <c r="BF12" i="17"/>
  <c r="BG7" i="17"/>
  <c r="BF20" i="17"/>
  <c r="BF11" i="17"/>
  <c r="BF9" i="17"/>
  <c r="BF35" i="18" l="1"/>
  <c r="BF34" i="18"/>
  <c r="BF33" i="18"/>
  <c r="BF32" i="18"/>
  <c r="BF31" i="18"/>
  <c r="BF30" i="18"/>
  <c r="BF25" i="18"/>
  <c r="BF29" i="18"/>
  <c r="BF28" i="18"/>
  <c r="BF24" i="18"/>
  <c r="BF27" i="18"/>
  <c r="BF21" i="18"/>
  <c r="BF18" i="18"/>
  <c r="BF13" i="18"/>
  <c r="BF26" i="18"/>
  <c r="BF17" i="18"/>
  <c r="BF20" i="18"/>
  <c r="BF15" i="18"/>
  <c r="BF23" i="18"/>
  <c r="BF6" i="18"/>
  <c r="BF22" i="18"/>
  <c r="BF12" i="18"/>
  <c r="BG7" i="18"/>
  <c r="BF19" i="18"/>
  <c r="BF16" i="18"/>
  <c r="BF11" i="18"/>
  <c r="BF9" i="18"/>
  <c r="BF14" i="18"/>
  <c r="BG35" i="17"/>
  <c r="BG34" i="17"/>
  <c r="BG33" i="17"/>
  <c r="BG32" i="17"/>
  <c r="BG31" i="17"/>
  <c r="BG30" i="17"/>
  <c r="BG27" i="17"/>
  <c r="BG26" i="17"/>
  <c r="BG25" i="17"/>
  <c r="BG23" i="17"/>
  <c r="BG22" i="17"/>
  <c r="BG18" i="17"/>
  <c r="BG29" i="17"/>
  <c r="BG21" i="17"/>
  <c r="BG17" i="17"/>
  <c r="BG16" i="17"/>
  <c r="BG20" i="17"/>
  <c r="BG28" i="17"/>
  <c r="BG15" i="17"/>
  <c r="BG13" i="17"/>
  <c r="BG12" i="17"/>
  <c r="BH7" i="17"/>
  <c r="BG19" i="17"/>
  <c r="BG24" i="17"/>
  <c r="BG11" i="17"/>
  <c r="BG9" i="17"/>
  <c r="BG14" i="17"/>
  <c r="BG35" i="18" l="1"/>
  <c r="BG34" i="18"/>
  <c r="BG33" i="18"/>
  <c r="BG32" i="18"/>
  <c r="BG31" i="18"/>
  <c r="BG30" i="18"/>
  <c r="BG29" i="18"/>
  <c r="BG28" i="18"/>
  <c r="BG24" i="18"/>
  <c r="BG27" i="18"/>
  <c r="BG23" i="18"/>
  <c r="BG22" i="18"/>
  <c r="BG26" i="18"/>
  <c r="BG17" i="18"/>
  <c r="BG16" i="18"/>
  <c r="BG20" i="18"/>
  <c r="BG19" i="18"/>
  <c r="BG14" i="18"/>
  <c r="BG18" i="18"/>
  <c r="BG12" i="18"/>
  <c r="BH7" i="18"/>
  <c r="BG13" i="18"/>
  <c r="BG11" i="18"/>
  <c r="BG9" i="18"/>
  <c r="BG25" i="18"/>
  <c r="BG21" i="18"/>
  <c r="BG15" i="18"/>
  <c r="BH35" i="17"/>
  <c r="BH34" i="17"/>
  <c r="BH33" i="17"/>
  <c r="BH32" i="17"/>
  <c r="BH31" i="17"/>
  <c r="BH30" i="17"/>
  <c r="BH26" i="17"/>
  <c r="BH29" i="17"/>
  <c r="BH28" i="17"/>
  <c r="BH21" i="17"/>
  <c r="BH17" i="17"/>
  <c r="BH16" i="17"/>
  <c r="BH27" i="17"/>
  <c r="BH20" i="17"/>
  <c r="BH15" i="17"/>
  <c r="BH24" i="17"/>
  <c r="BH23" i="17"/>
  <c r="BH12" i="17"/>
  <c r="BI7" i="17"/>
  <c r="BH25" i="17"/>
  <c r="BH11" i="17"/>
  <c r="BH9" i="17"/>
  <c r="BH22" i="17"/>
  <c r="BH19" i="17"/>
  <c r="BH14" i="17"/>
  <c r="BH18" i="17"/>
  <c r="BH13" i="17"/>
  <c r="BH35" i="18" l="1"/>
  <c r="BH34" i="18"/>
  <c r="BH33" i="18"/>
  <c r="BH32" i="18"/>
  <c r="BH31" i="18"/>
  <c r="BH30" i="18"/>
  <c r="BH27" i="18"/>
  <c r="BH23" i="18"/>
  <c r="BH22" i="18"/>
  <c r="BH26" i="18"/>
  <c r="BH21" i="18"/>
  <c r="BH25" i="18"/>
  <c r="BH28" i="18"/>
  <c r="BH20" i="18"/>
  <c r="BH15" i="18"/>
  <c r="BH19" i="18"/>
  <c r="BH29" i="18"/>
  <c r="BH24" i="18"/>
  <c r="BH18" i="18"/>
  <c r="BH13" i="18"/>
  <c r="BH11" i="18"/>
  <c r="BH9" i="18"/>
  <c r="BI7" i="18"/>
  <c r="BH16" i="18"/>
  <c r="BH17" i="18"/>
  <c r="BH14" i="18"/>
  <c r="BH12" i="18"/>
  <c r="BI35" i="17"/>
  <c r="BI33" i="17"/>
  <c r="BI31" i="17"/>
  <c r="BI25" i="17"/>
  <c r="BI29" i="17"/>
  <c r="BI28" i="17"/>
  <c r="BI34" i="17"/>
  <c r="BI32" i="17"/>
  <c r="BI30" i="17"/>
  <c r="BI27" i="17"/>
  <c r="BI20" i="17"/>
  <c r="BI15" i="17"/>
  <c r="BI24" i="17"/>
  <c r="BI19" i="17"/>
  <c r="BI23" i="17"/>
  <c r="BI22" i="17"/>
  <c r="BI21" i="17"/>
  <c r="BI11" i="17"/>
  <c r="BI9" i="17"/>
  <c r="BI14" i="17"/>
  <c r="BI18" i="17"/>
  <c r="BI13" i="17"/>
  <c r="BI26" i="17"/>
  <c r="BI12" i="17"/>
  <c r="BI17" i="17"/>
  <c r="BI16" i="17"/>
  <c r="BJ7" i="17"/>
  <c r="BI35" i="18" l="1"/>
  <c r="BI33" i="18"/>
  <c r="BI31" i="18"/>
  <c r="BI26" i="18"/>
  <c r="BI21" i="18"/>
  <c r="BI25" i="18"/>
  <c r="BI34" i="18"/>
  <c r="BI32" i="18"/>
  <c r="BI30" i="18"/>
  <c r="BI29" i="18"/>
  <c r="BI28" i="18"/>
  <c r="BI19" i="18"/>
  <c r="BI14" i="18"/>
  <c r="BI24" i="18"/>
  <c r="BI18" i="18"/>
  <c r="BI27" i="18"/>
  <c r="BI23" i="18"/>
  <c r="BI22" i="18"/>
  <c r="BI17" i="18"/>
  <c r="BI16" i="18"/>
  <c r="BI13" i="18"/>
  <c r="BI9" i="18"/>
  <c r="BI15" i="18"/>
  <c r="BI20" i="18"/>
  <c r="BI11" i="18"/>
  <c r="BI12" i="18"/>
  <c r="BJ7" i="18"/>
  <c r="BJ35" i="17"/>
  <c r="BJ34" i="17"/>
  <c r="BJ33" i="17"/>
  <c r="BJ32" i="17"/>
  <c r="BJ31" i="17"/>
  <c r="BJ30" i="17"/>
  <c r="BJ29" i="17"/>
  <c r="BJ28" i="17"/>
  <c r="BJ27" i="17"/>
  <c r="BJ26" i="17"/>
  <c r="BJ24" i="17"/>
  <c r="BJ19" i="17"/>
  <c r="BJ23" i="17"/>
  <c r="BJ22" i="17"/>
  <c r="BJ18" i="17"/>
  <c r="BJ25" i="17"/>
  <c r="BJ21" i="17"/>
  <c r="BJ14" i="17"/>
  <c r="BJ13" i="17"/>
  <c r="BJ20" i="17"/>
  <c r="BJ17" i="17"/>
  <c r="BJ16" i="17"/>
  <c r="BJ12" i="17"/>
  <c r="BK7" i="17"/>
  <c r="BJ15" i="17"/>
  <c r="BJ9" i="17"/>
  <c r="BJ11" i="17"/>
  <c r="BJ35" i="18" l="1"/>
  <c r="BJ34" i="18"/>
  <c r="BJ33" i="18"/>
  <c r="BJ32" i="18"/>
  <c r="BJ31" i="18"/>
  <c r="BJ30" i="18"/>
  <c r="BJ25" i="18"/>
  <c r="BJ29" i="18"/>
  <c r="BJ28" i="18"/>
  <c r="BJ24" i="18"/>
  <c r="BJ27" i="18"/>
  <c r="BJ26" i="18"/>
  <c r="BJ18" i="18"/>
  <c r="BJ13" i="18"/>
  <c r="BJ23" i="18"/>
  <c r="BJ22" i="18"/>
  <c r="BJ17" i="18"/>
  <c r="BJ21" i="18"/>
  <c r="BJ20" i="18"/>
  <c r="BJ15" i="18"/>
  <c r="BJ16" i="18"/>
  <c r="BJ19" i="18"/>
  <c r="BJ14" i="18"/>
  <c r="BJ12" i="18"/>
  <c r="BK7" i="18"/>
  <c r="BJ11" i="18"/>
  <c r="BJ9" i="18"/>
  <c r="BK35" i="17"/>
  <c r="BK34" i="17"/>
  <c r="BK33" i="17"/>
  <c r="BK32" i="17"/>
  <c r="BK31" i="17"/>
  <c r="BK30" i="17"/>
  <c r="BK29" i="17"/>
  <c r="BK27" i="17"/>
  <c r="BK26" i="17"/>
  <c r="BK23" i="17"/>
  <c r="BK22" i="17"/>
  <c r="BK18" i="17"/>
  <c r="BK25" i="17"/>
  <c r="BK21" i="17"/>
  <c r="BK17" i="17"/>
  <c r="BK16" i="17"/>
  <c r="BK28" i="17"/>
  <c r="BK20" i="17"/>
  <c r="BK13" i="17"/>
  <c r="BK24" i="17"/>
  <c r="BK19" i="17"/>
  <c r="BK12" i="17"/>
  <c r="BL7" i="17"/>
  <c r="BK15" i="17"/>
  <c r="BK11" i="17"/>
  <c r="BK9" i="17"/>
  <c r="BK14" i="17"/>
  <c r="BK35" i="18" l="1"/>
  <c r="BK34" i="18"/>
  <c r="BK33" i="18"/>
  <c r="BK32" i="18"/>
  <c r="BK31" i="18"/>
  <c r="BK30" i="18"/>
  <c r="BK29" i="18"/>
  <c r="BK28" i="18"/>
  <c r="BK24" i="18"/>
  <c r="BK27" i="18"/>
  <c r="BK23" i="18"/>
  <c r="BK22" i="18"/>
  <c r="BK26" i="18"/>
  <c r="BK17" i="18"/>
  <c r="BK16" i="18"/>
  <c r="BK21" i="18"/>
  <c r="BK20" i="18"/>
  <c r="BK25" i="18"/>
  <c r="BK19" i="18"/>
  <c r="BK14" i="18"/>
  <c r="BK15" i="18"/>
  <c r="BK12" i="18"/>
  <c r="BL7" i="18"/>
  <c r="BK11" i="18"/>
  <c r="BK9" i="18"/>
  <c r="BK18" i="18"/>
  <c r="BK13" i="18"/>
  <c r="BL35" i="17"/>
  <c r="BL34" i="17"/>
  <c r="BL33" i="17"/>
  <c r="BL32" i="17"/>
  <c r="BL31" i="17"/>
  <c r="BL30" i="17"/>
  <c r="BL29" i="17"/>
  <c r="BL26" i="17"/>
  <c r="BL28" i="17"/>
  <c r="BL27" i="17"/>
  <c r="BL25" i="17"/>
  <c r="BL21" i="17"/>
  <c r="BL17" i="17"/>
  <c r="BL16" i="17"/>
  <c r="BL20" i="17"/>
  <c r="BL15" i="17"/>
  <c r="BL24" i="17"/>
  <c r="BL19" i="17"/>
  <c r="BL12" i="17"/>
  <c r="BL22" i="17"/>
  <c r="BL18" i="17"/>
  <c r="BL11" i="17"/>
  <c r="BL9" i="17"/>
  <c r="BL23" i="17"/>
  <c r="BL14" i="17"/>
  <c r="BL13" i="17"/>
  <c r="BL35" i="18" l="1"/>
  <c r="BL34" i="18"/>
  <c r="BL33" i="18"/>
  <c r="BL32" i="18"/>
  <c r="BL31" i="18"/>
  <c r="BL30" i="18"/>
  <c r="BL29" i="18"/>
  <c r="BL27" i="18"/>
  <c r="BL23" i="18"/>
  <c r="BL22" i="18"/>
  <c r="BL26" i="18"/>
  <c r="BL21" i="18"/>
  <c r="BL25" i="18"/>
  <c r="BL24" i="18"/>
  <c r="BL20" i="18"/>
  <c r="BL15" i="18"/>
  <c r="BL19" i="18"/>
  <c r="BL18" i="18"/>
  <c r="BL28" i="18"/>
  <c r="BL14" i="18"/>
  <c r="BL11" i="18"/>
  <c r="BL9" i="18"/>
  <c r="BL16" i="18"/>
  <c r="BL17" i="18"/>
  <c r="BL13" i="18"/>
  <c r="BL12" i="18"/>
  <c r="J7" i="16" l="1"/>
  <c r="J20" i="16" l="1"/>
  <c r="J23" i="16"/>
  <c r="J21" i="16"/>
  <c r="J22" i="16"/>
  <c r="J12" i="16"/>
  <c r="J15" i="16"/>
  <c r="J18" i="16"/>
  <c r="J17" i="16"/>
  <c r="J14" i="16"/>
  <c r="J13" i="16"/>
  <c r="J16" i="16"/>
  <c r="J19" i="16"/>
  <c r="J11" i="16"/>
  <c r="J6" i="16"/>
  <c r="J9" i="16"/>
  <c r="K7" i="16"/>
  <c r="K20" i="16" l="1"/>
  <c r="K23" i="16"/>
  <c r="K21" i="16"/>
  <c r="K22" i="16"/>
  <c r="K11" i="16"/>
  <c r="K12" i="16"/>
  <c r="K15" i="16"/>
  <c r="K18" i="16"/>
  <c r="K14" i="16"/>
  <c r="K17" i="16"/>
  <c r="K13" i="16"/>
  <c r="K16" i="16"/>
  <c r="K19" i="16"/>
  <c r="K9" i="16"/>
  <c r="L7" i="16"/>
  <c r="L20" i="16" l="1"/>
  <c r="L23" i="16"/>
  <c r="L21" i="16"/>
  <c r="L22" i="16"/>
  <c r="L11" i="16"/>
  <c r="L12" i="16"/>
  <c r="L15" i="16"/>
  <c r="L18" i="16"/>
  <c r="L13" i="16"/>
  <c r="L16" i="16"/>
  <c r="L19" i="16"/>
  <c r="L14" i="16"/>
  <c r="L17" i="16"/>
  <c r="L9" i="16"/>
  <c r="M7" i="16"/>
  <c r="M20" i="16" l="1"/>
  <c r="M21" i="16"/>
  <c r="M23" i="16"/>
  <c r="M22" i="16"/>
  <c r="M11" i="16"/>
  <c r="M18" i="16"/>
  <c r="M12" i="16"/>
  <c r="M15" i="16"/>
  <c r="M19" i="16"/>
  <c r="M13" i="16"/>
  <c r="M16" i="16"/>
  <c r="M14" i="16"/>
  <c r="M17" i="16"/>
  <c r="M9" i="16"/>
  <c r="N7" i="16"/>
  <c r="N21" i="16" l="1"/>
  <c r="N20" i="16"/>
  <c r="N23" i="16"/>
  <c r="N22" i="16"/>
  <c r="N11" i="16"/>
  <c r="N13" i="16"/>
  <c r="N16" i="16"/>
  <c r="N19" i="16"/>
  <c r="N15" i="16"/>
  <c r="N18" i="16"/>
  <c r="N12" i="16"/>
  <c r="N14" i="16"/>
  <c r="N17" i="16"/>
  <c r="N9" i="16"/>
  <c r="O7" i="16"/>
  <c r="O21" i="16" l="1"/>
  <c r="O20" i="16"/>
  <c r="O22" i="16"/>
  <c r="O23" i="16"/>
  <c r="O11" i="16"/>
  <c r="O13" i="16"/>
  <c r="O16" i="16"/>
  <c r="O19" i="16"/>
  <c r="O12" i="16"/>
  <c r="O15" i="16"/>
  <c r="O18" i="16"/>
  <c r="O14" i="16"/>
  <c r="O17" i="16"/>
  <c r="O9" i="16"/>
  <c r="P7" i="16"/>
  <c r="P21" i="16" l="1"/>
  <c r="P20" i="16"/>
  <c r="P23" i="16"/>
  <c r="P22" i="16"/>
  <c r="P11" i="16"/>
  <c r="P13" i="16"/>
  <c r="P16" i="16"/>
  <c r="P19" i="16"/>
  <c r="P12" i="16"/>
  <c r="P18" i="16"/>
  <c r="P15" i="16"/>
  <c r="P14" i="16"/>
  <c r="P17" i="16"/>
  <c r="P9" i="16"/>
  <c r="Q7" i="16"/>
  <c r="Q21" i="16" l="1"/>
  <c r="Q20" i="16"/>
  <c r="Q23" i="16"/>
  <c r="Q22" i="16"/>
  <c r="Q11" i="16"/>
  <c r="Q13" i="16"/>
  <c r="Q16" i="16"/>
  <c r="Q19" i="16"/>
  <c r="Q12" i="16"/>
  <c r="Q18" i="16"/>
  <c r="Q17" i="16"/>
  <c r="Q14" i="16"/>
  <c r="Q15" i="16"/>
  <c r="Q6" i="16"/>
  <c r="R7" i="16"/>
  <c r="Q9" i="16"/>
  <c r="R22" i="16" l="1"/>
  <c r="R20" i="16"/>
  <c r="R21" i="16"/>
  <c r="R23" i="16"/>
  <c r="R11" i="16"/>
  <c r="R14" i="16"/>
  <c r="R17" i="16"/>
  <c r="R13" i="16"/>
  <c r="R19" i="16"/>
  <c r="R16" i="16"/>
  <c r="R15" i="16"/>
  <c r="R18" i="16"/>
  <c r="R12" i="16"/>
  <c r="R9" i="16"/>
  <c r="S7" i="16"/>
  <c r="S22" i="16" l="1"/>
  <c r="S23" i="16"/>
  <c r="S20" i="16"/>
  <c r="S21" i="16"/>
  <c r="S11" i="16"/>
  <c r="S14" i="16"/>
  <c r="S17" i="16"/>
  <c r="S13" i="16"/>
  <c r="S16" i="16"/>
  <c r="S12" i="16"/>
  <c r="S19" i="16"/>
  <c r="S15" i="16"/>
  <c r="S18" i="16"/>
  <c r="S9" i="16"/>
  <c r="T7" i="16"/>
  <c r="T22" i="16" l="1"/>
  <c r="T23" i="16"/>
  <c r="T20" i="16"/>
  <c r="T21" i="16"/>
  <c r="T11" i="16"/>
  <c r="T14" i="16"/>
  <c r="T17" i="16"/>
  <c r="T19" i="16"/>
  <c r="T16" i="16"/>
  <c r="T18" i="16"/>
  <c r="T15" i="16"/>
  <c r="T12" i="16"/>
  <c r="T13" i="16"/>
  <c r="T9" i="16"/>
  <c r="U7" i="16"/>
  <c r="U22" i="16" l="1"/>
  <c r="U20" i="16"/>
  <c r="U21" i="16"/>
  <c r="U23" i="16"/>
  <c r="U11" i="16"/>
  <c r="U14" i="16"/>
  <c r="U17" i="16"/>
  <c r="U18" i="16"/>
  <c r="U19" i="16"/>
  <c r="U15" i="16"/>
  <c r="U12" i="16"/>
  <c r="U13" i="16"/>
  <c r="U16" i="16"/>
  <c r="V7" i="16"/>
  <c r="U9" i="16"/>
  <c r="V20" i="16" l="1"/>
  <c r="V23" i="16"/>
  <c r="V21" i="16"/>
  <c r="V22" i="16"/>
  <c r="V11" i="16"/>
  <c r="V12" i="16"/>
  <c r="V15" i="16"/>
  <c r="V18" i="16"/>
  <c r="V17" i="16"/>
  <c r="V14" i="16"/>
  <c r="V19" i="16"/>
  <c r="V13" i="16"/>
  <c r="V16" i="16"/>
  <c r="V9" i="16"/>
  <c r="W7" i="16"/>
  <c r="W20" i="16" l="1"/>
  <c r="W23" i="16"/>
  <c r="W22" i="16"/>
  <c r="W21" i="16"/>
  <c r="W11" i="16"/>
  <c r="W12" i="16"/>
  <c r="W15" i="16"/>
  <c r="W18" i="16"/>
  <c r="W14" i="16"/>
  <c r="W17" i="16"/>
  <c r="W19" i="16"/>
  <c r="W16" i="16"/>
  <c r="W13" i="16"/>
  <c r="W9" i="16"/>
  <c r="X7" i="16"/>
  <c r="X20" i="16" l="1"/>
  <c r="X23" i="16"/>
  <c r="X22" i="16"/>
  <c r="X21" i="16"/>
  <c r="X11" i="16"/>
  <c r="X12" i="16"/>
  <c r="X15" i="16"/>
  <c r="X18" i="16"/>
  <c r="X19" i="16"/>
  <c r="X14" i="16"/>
  <c r="X17" i="16"/>
  <c r="X13" i="16"/>
  <c r="X16" i="16"/>
  <c r="X6" i="16"/>
  <c r="Y7" i="16"/>
  <c r="X9" i="16"/>
  <c r="Y20" i="16" l="1"/>
  <c r="Y22" i="16"/>
  <c r="Y21" i="16"/>
  <c r="Y23" i="16"/>
  <c r="Y11" i="16"/>
  <c r="Y12" i="16"/>
  <c r="Y15" i="16"/>
  <c r="Y18" i="16"/>
  <c r="Y13" i="16"/>
  <c r="Y16" i="16"/>
  <c r="Y14" i="16"/>
  <c r="Y17" i="16"/>
  <c r="Y19" i="16"/>
  <c r="Z7" i="16"/>
  <c r="Y9" i="16"/>
  <c r="Z21" i="16" l="1"/>
  <c r="Z22" i="16"/>
  <c r="Z20" i="16"/>
  <c r="Z23" i="16"/>
  <c r="Z11" i="16"/>
  <c r="Z13" i="16"/>
  <c r="Z16" i="16"/>
  <c r="Z19" i="16"/>
  <c r="Z15" i="16"/>
  <c r="Z12" i="16"/>
  <c r="Z18" i="16"/>
  <c r="Z14" i="16"/>
  <c r="Z17" i="16"/>
  <c r="AA7" i="16"/>
  <c r="Z9" i="16"/>
  <c r="AA21" i="16" l="1"/>
  <c r="AA22" i="16"/>
  <c r="AA20" i="16"/>
  <c r="AA23" i="16"/>
  <c r="AA11" i="16"/>
  <c r="AA13" i="16"/>
  <c r="AA16" i="16"/>
  <c r="AA19" i="16"/>
  <c r="AA12" i="16"/>
  <c r="AA15" i="16"/>
  <c r="AA14" i="16"/>
  <c r="AA17" i="16"/>
  <c r="AA18" i="16"/>
  <c r="AA9" i="16"/>
  <c r="AB7" i="16"/>
  <c r="AB21" i="16" l="1"/>
  <c r="AB22" i="16"/>
  <c r="AB20" i="16"/>
  <c r="AB23" i="16"/>
  <c r="AB11" i="16"/>
  <c r="AB13" i="16"/>
  <c r="AB16" i="16"/>
  <c r="AB19" i="16"/>
  <c r="AB12" i="16"/>
  <c r="AB14" i="16"/>
  <c r="AB18" i="16"/>
  <c r="AB17" i="16"/>
  <c r="AB15" i="16"/>
  <c r="AB9" i="16"/>
  <c r="AC7" i="16"/>
  <c r="AC21" i="16" l="1"/>
  <c r="AC23" i="16"/>
  <c r="AC22" i="16"/>
  <c r="AC20" i="16"/>
  <c r="AC11" i="16"/>
  <c r="AC19" i="16"/>
  <c r="AC13" i="16"/>
  <c r="AC16" i="16"/>
  <c r="AC15" i="16"/>
  <c r="AC14" i="16"/>
  <c r="AC17" i="16"/>
  <c r="AC12" i="16"/>
  <c r="AC18" i="16"/>
  <c r="AD7" i="16"/>
  <c r="AC9" i="16"/>
  <c r="AD22" i="16" l="1"/>
  <c r="AD20" i="16"/>
  <c r="AD21" i="16"/>
  <c r="AD23" i="16"/>
  <c r="AD11" i="16"/>
  <c r="AD14" i="16"/>
  <c r="AD17" i="16"/>
  <c r="AD13" i="16"/>
  <c r="AD16" i="16"/>
  <c r="AD19" i="16"/>
  <c r="AD15" i="16"/>
  <c r="AD18" i="16"/>
  <c r="AD12" i="16"/>
  <c r="AD9" i="16"/>
  <c r="AE7" i="16"/>
  <c r="AE22" i="16" l="1"/>
  <c r="AE20" i="16"/>
  <c r="AE21" i="16"/>
  <c r="AE23" i="16"/>
  <c r="AE11" i="16"/>
  <c r="AE14" i="16"/>
  <c r="AE17" i="16"/>
  <c r="AE13" i="16"/>
  <c r="AE16" i="16"/>
  <c r="AE18" i="16"/>
  <c r="AE12" i="16"/>
  <c r="AE19" i="16"/>
  <c r="AE15" i="16"/>
  <c r="AE9" i="16"/>
  <c r="AF7" i="16"/>
  <c r="AE6" i="16"/>
  <c r="AF22" i="16" l="1"/>
  <c r="AF20" i="16"/>
  <c r="AF21" i="16"/>
  <c r="AF23" i="16"/>
  <c r="AF11" i="16"/>
  <c r="AF14" i="16"/>
  <c r="AF17" i="16"/>
  <c r="AF18" i="16"/>
  <c r="AF12" i="16"/>
  <c r="AF19" i="16"/>
  <c r="AF13" i="16"/>
  <c r="AF16" i="16"/>
  <c r="AF15" i="16"/>
  <c r="AF9" i="16"/>
  <c r="AG7" i="16"/>
  <c r="AG22" i="16" l="1"/>
  <c r="AG20" i="16"/>
  <c r="AG23" i="16"/>
  <c r="AG21" i="16"/>
  <c r="AG11" i="16"/>
  <c r="AG17" i="16"/>
  <c r="AG14" i="16"/>
  <c r="AG13" i="16"/>
  <c r="AG18" i="16"/>
  <c r="AG12" i="16"/>
  <c r="AG16" i="16"/>
  <c r="AG15" i="16"/>
  <c r="AG19" i="16"/>
  <c r="AG9" i="16"/>
  <c r="AH7" i="16"/>
  <c r="AH20" i="16" l="1"/>
  <c r="AH23" i="16"/>
  <c r="AH21" i="16"/>
  <c r="AH22" i="16"/>
  <c r="AH11" i="16"/>
  <c r="AH12" i="16"/>
  <c r="AH15" i="16"/>
  <c r="AH18" i="16"/>
  <c r="AH14" i="16"/>
  <c r="AH17" i="16"/>
  <c r="AH13" i="16"/>
  <c r="AH16" i="16"/>
  <c r="AH19" i="16"/>
  <c r="AH9" i="16"/>
  <c r="AI7" i="16"/>
  <c r="AI20" i="16" l="1"/>
  <c r="AI23" i="16"/>
  <c r="AI21" i="16"/>
  <c r="AI22" i="16"/>
  <c r="AI11" i="16"/>
  <c r="AI12" i="16"/>
  <c r="AI15" i="16"/>
  <c r="AI18" i="16"/>
  <c r="AI14" i="16"/>
  <c r="AI13" i="16"/>
  <c r="AI16" i="16"/>
  <c r="AI17" i="16"/>
  <c r="AI19" i="16"/>
  <c r="AI9" i="16"/>
  <c r="AJ7" i="16"/>
  <c r="AJ20" i="16" l="1"/>
  <c r="AJ23" i="16"/>
  <c r="AJ21" i="16"/>
  <c r="AJ22" i="16"/>
  <c r="AJ11" i="16"/>
  <c r="AJ12" i="16"/>
  <c r="AJ15" i="16"/>
  <c r="AJ18" i="16"/>
  <c r="AJ19" i="16"/>
  <c r="AJ13" i="16"/>
  <c r="AJ16" i="16"/>
  <c r="AJ14" i="16"/>
  <c r="AJ17" i="16"/>
  <c r="AK7" i="16"/>
  <c r="AJ9" i="16"/>
  <c r="AK20" i="16" l="1"/>
  <c r="AK23" i="16"/>
  <c r="AK21" i="16"/>
  <c r="AK22" i="16"/>
  <c r="AK11" i="16"/>
  <c r="AK18" i="16"/>
  <c r="AK12" i="16"/>
  <c r="AK15" i="16"/>
  <c r="AK19" i="16"/>
  <c r="AK16" i="16"/>
  <c r="AK17" i="16"/>
  <c r="AK13" i="16"/>
  <c r="AK14" i="16"/>
  <c r="AL7" i="16"/>
  <c r="AK9" i="16"/>
  <c r="AL21" i="16" l="1"/>
  <c r="AL23" i="16"/>
  <c r="AL20" i="16"/>
  <c r="AL22" i="16"/>
  <c r="AL11" i="16"/>
  <c r="AL13" i="16"/>
  <c r="AL16" i="16"/>
  <c r="AL19" i="16"/>
  <c r="AL12" i="16"/>
  <c r="AL18" i="16"/>
  <c r="AL15" i="16"/>
  <c r="AL14" i="16"/>
  <c r="AL17" i="16"/>
  <c r="AM7" i="16"/>
  <c r="AL6" i="16"/>
  <c r="AL9" i="16"/>
  <c r="AM21" i="16" l="1"/>
  <c r="AM23" i="16"/>
  <c r="AM20" i="16"/>
  <c r="AM22" i="16"/>
  <c r="AM11" i="16"/>
  <c r="AM13" i="16"/>
  <c r="AM16" i="16"/>
  <c r="AM19" i="16"/>
  <c r="AM12" i="16"/>
  <c r="AM15" i="16"/>
  <c r="AM18" i="16"/>
  <c r="AM17" i="16"/>
  <c r="AM14" i="16"/>
  <c r="AN7" i="16"/>
  <c r="AM9" i="16"/>
  <c r="AN21" i="16" l="1"/>
  <c r="AN23" i="16"/>
  <c r="AN20" i="16"/>
  <c r="AN22" i="16"/>
  <c r="AN11" i="16"/>
  <c r="AN13" i="16"/>
  <c r="AN16" i="16"/>
  <c r="AN19" i="16"/>
  <c r="AN17" i="16"/>
  <c r="AN18" i="16"/>
  <c r="AN12" i="16"/>
  <c r="AN15" i="16"/>
  <c r="AN14" i="16"/>
  <c r="AO7" i="16"/>
  <c r="AN9" i="16"/>
  <c r="AO21" i="16" l="1"/>
  <c r="AO20" i="16"/>
  <c r="AO22" i="16"/>
  <c r="AO23" i="16"/>
  <c r="AO11" i="16"/>
  <c r="AO13" i="16"/>
  <c r="AO16" i="16"/>
  <c r="AO19" i="16"/>
  <c r="AO17" i="16"/>
  <c r="AO14" i="16"/>
  <c r="AO12" i="16"/>
  <c r="AO15" i="16"/>
  <c r="AO18" i="16"/>
  <c r="AP7" i="16"/>
  <c r="AO9" i="16"/>
  <c r="AP22" i="16" l="1"/>
  <c r="AP20" i="16"/>
  <c r="AP21" i="16"/>
  <c r="AP23" i="16"/>
  <c r="AP11" i="16"/>
  <c r="AP14" i="16"/>
  <c r="AP17" i="16"/>
  <c r="AP13" i="16"/>
  <c r="AP16" i="16"/>
  <c r="AP19" i="16"/>
  <c r="AP12" i="16"/>
  <c r="AP15" i="16"/>
  <c r="AP18" i="16"/>
  <c r="AQ7" i="16"/>
  <c r="AP9" i="16"/>
  <c r="AQ22" i="16" l="1"/>
  <c r="AQ20" i="16"/>
  <c r="AQ21" i="16"/>
  <c r="AQ23" i="16"/>
  <c r="AQ11" i="16"/>
  <c r="AQ14" i="16"/>
  <c r="AQ17" i="16"/>
  <c r="AQ13" i="16"/>
  <c r="AQ16" i="16"/>
  <c r="AQ12" i="16"/>
  <c r="AQ15" i="16"/>
  <c r="AQ19" i="16"/>
  <c r="AQ18" i="16"/>
  <c r="AR7" i="16"/>
  <c r="AQ9" i="16"/>
  <c r="AR22" i="16" l="1"/>
  <c r="AR20" i="16"/>
  <c r="AR21" i="16"/>
  <c r="AR23" i="16"/>
  <c r="AR11" i="16"/>
  <c r="AR14" i="16"/>
  <c r="AR17" i="16"/>
  <c r="AR15" i="16"/>
  <c r="AR12" i="16"/>
  <c r="AR13" i="16"/>
  <c r="AR18" i="16"/>
  <c r="AR19" i="16"/>
  <c r="AR16" i="16"/>
  <c r="AS7" i="16"/>
  <c r="AR9" i="16"/>
  <c r="AS22" i="16" l="1"/>
  <c r="AS20" i="16"/>
  <c r="AS21" i="16"/>
  <c r="AS23" i="16"/>
  <c r="AS11" i="16"/>
  <c r="AS14" i="16"/>
  <c r="AS17" i="16"/>
  <c r="AS13" i="16"/>
  <c r="AS16" i="16"/>
  <c r="AS19" i="16"/>
  <c r="AS12" i="16"/>
  <c r="AS15" i="16"/>
  <c r="AS18" i="16"/>
  <c r="AS9" i="16"/>
  <c r="AS6" i="16"/>
  <c r="AT7" i="16"/>
  <c r="AT20" i="16" l="1"/>
  <c r="AT23" i="16"/>
  <c r="AT21" i="16"/>
  <c r="AT22" i="16"/>
  <c r="AT11" i="16"/>
  <c r="AT12" i="16"/>
  <c r="AT15" i="16"/>
  <c r="AT18" i="16"/>
  <c r="AT14" i="16"/>
  <c r="AT17" i="16"/>
  <c r="AT16" i="16"/>
  <c r="AT19" i="16"/>
  <c r="AT13" i="16"/>
  <c r="AU7" i="16"/>
  <c r="AT9" i="16"/>
  <c r="AU20" i="16" l="1"/>
  <c r="AU23" i="16"/>
  <c r="AU21" i="16"/>
  <c r="AU22" i="16"/>
  <c r="AU11" i="16"/>
  <c r="AU12" i="16"/>
  <c r="AU15" i="16"/>
  <c r="AU18" i="16"/>
  <c r="AU14" i="16"/>
  <c r="AU17" i="16"/>
  <c r="AU19" i="16"/>
  <c r="AU16" i="16"/>
  <c r="AU13" i="16"/>
  <c r="AU9" i="16"/>
  <c r="AV7" i="16"/>
  <c r="AV20" i="16" l="1"/>
  <c r="AV23" i="16"/>
  <c r="AV21" i="16"/>
  <c r="AV22" i="16"/>
  <c r="AV11" i="16"/>
  <c r="AV12" i="16"/>
  <c r="AV15" i="16"/>
  <c r="AV18" i="16"/>
  <c r="AV14" i="16"/>
  <c r="AV19" i="16"/>
  <c r="AV13" i="16"/>
  <c r="AV16" i="16"/>
  <c r="AV17" i="16"/>
  <c r="AV9" i="16"/>
  <c r="AW7" i="16"/>
  <c r="AW20" i="16" l="1"/>
  <c r="AW23" i="16"/>
  <c r="AW22" i="16"/>
  <c r="AW21" i="16"/>
  <c r="AW11" i="16"/>
  <c r="AW12" i="16"/>
  <c r="AW15" i="16"/>
  <c r="AW18" i="16"/>
  <c r="AW17" i="16"/>
  <c r="AW13" i="16"/>
  <c r="AW14" i="16"/>
  <c r="AW19" i="16"/>
  <c r="AW16" i="16"/>
  <c r="AW9" i="16"/>
  <c r="AX7" i="16"/>
  <c r="AX21" i="16" l="1"/>
  <c r="AX20" i="16"/>
  <c r="AX23" i="16"/>
  <c r="AX22" i="16"/>
  <c r="AX11" i="16"/>
  <c r="AX13" i="16"/>
  <c r="AX16" i="16"/>
  <c r="AX19" i="16"/>
  <c r="AX15" i="16"/>
  <c r="AX18" i="16"/>
  <c r="AX12" i="16"/>
  <c r="AX14" i="16"/>
  <c r="AX17" i="16"/>
  <c r="AY7" i="16"/>
  <c r="AX9" i="16"/>
  <c r="AY21" i="16" l="1"/>
  <c r="AY20" i="16"/>
  <c r="AY23" i="16"/>
  <c r="AY22" i="16"/>
  <c r="AY11" i="16"/>
  <c r="AY13" i="16"/>
  <c r="AY16" i="16"/>
  <c r="AY19" i="16"/>
  <c r="AY12" i="16"/>
  <c r="AY15" i="16"/>
  <c r="AY14" i="16"/>
  <c r="AY17" i="16"/>
  <c r="AY18" i="16"/>
  <c r="AZ7" i="16"/>
  <c r="AY9" i="16"/>
  <c r="AZ21" i="16" l="1"/>
  <c r="AZ23" i="16"/>
  <c r="AZ20" i="16"/>
  <c r="AZ22" i="16"/>
  <c r="AZ11" i="16"/>
  <c r="AZ13" i="16"/>
  <c r="AZ16" i="16"/>
  <c r="AZ19" i="16"/>
  <c r="AZ14" i="16"/>
  <c r="AZ12" i="16"/>
  <c r="AZ17" i="16"/>
  <c r="AZ15" i="16"/>
  <c r="AZ18" i="16"/>
  <c r="AZ6" i="16"/>
  <c r="BA7" i="16"/>
  <c r="AZ9" i="16"/>
  <c r="BA21" i="16" l="1"/>
  <c r="BA23" i="16"/>
  <c r="BA20" i="16"/>
  <c r="BA22" i="16"/>
  <c r="BA11" i="16"/>
  <c r="BA16" i="16"/>
  <c r="BA19" i="16"/>
  <c r="BA13" i="16"/>
  <c r="BA17" i="16"/>
  <c r="BA12" i="16"/>
  <c r="BA14" i="16"/>
  <c r="BA15" i="16"/>
  <c r="BA18" i="16"/>
  <c r="BA9" i="16"/>
  <c r="BB7" i="16"/>
  <c r="BB22" i="16" l="1"/>
  <c r="BB20" i="16"/>
  <c r="BB23" i="16"/>
  <c r="BB21" i="16"/>
  <c r="BB11" i="16"/>
  <c r="BB14" i="16"/>
  <c r="BB17" i="16"/>
  <c r="BB13" i="16"/>
  <c r="BB16" i="16"/>
  <c r="BB19" i="16"/>
  <c r="BB18" i="16"/>
  <c r="BB12" i="16"/>
  <c r="BB15" i="16"/>
  <c r="BB9" i="16"/>
  <c r="BC7" i="16"/>
  <c r="BC22" i="16" l="1"/>
  <c r="BC23" i="16"/>
  <c r="BC20" i="16"/>
  <c r="BC21" i="16"/>
  <c r="BC11" i="16"/>
  <c r="BC14" i="16"/>
  <c r="BC17" i="16"/>
  <c r="BC13" i="16"/>
  <c r="BC16" i="16"/>
  <c r="BC18" i="16"/>
  <c r="BC12" i="16"/>
  <c r="BC19" i="16"/>
  <c r="BC15" i="16"/>
  <c r="BD7" i="16"/>
  <c r="BC9" i="16"/>
  <c r="BD22" i="16" l="1"/>
  <c r="BD23" i="16"/>
  <c r="BD20" i="16"/>
  <c r="BD21" i="16"/>
  <c r="BD11" i="16"/>
  <c r="BD14" i="16"/>
  <c r="BD17" i="16"/>
  <c r="BD18" i="16"/>
  <c r="BD15" i="16"/>
  <c r="BD16" i="16"/>
  <c r="BD13" i="16"/>
  <c r="BD19" i="16"/>
  <c r="BD12" i="16"/>
  <c r="BD9" i="16"/>
  <c r="BE7" i="16"/>
  <c r="BE22" i="16" l="1"/>
  <c r="BE23" i="16"/>
  <c r="BE20" i="16"/>
  <c r="BE21" i="16"/>
  <c r="BE11" i="16"/>
  <c r="BE14" i="16"/>
  <c r="BE17" i="16"/>
  <c r="BE18" i="16"/>
  <c r="BE15" i="16"/>
  <c r="BE13" i="16"/>
  <c r="BE19" i="16"/>
  <c r="BE12" i="16"/>
  <c r="BE16" i="16"/>
  <c r="BF7" i="16"/>
  <c r="BE9" i="16"/>
  <c r="BF20" i="16" l="1"/>
  <c r="BF23" i="16"/>
  <c r="BF21" i="16"/>
  <c r="BF22" i="16"/>
  <c r="BF11" i="16"/>
  <c r="BF12" i="16"/>
  <c r="BF15" i="16"/>
  <c r="BF18" i="16"/>
  <c r="BF14" i="16"/>
  <c r="BF17" i="16"/>
  <c r="BF13" i="16"/>
  <c r="BF16" i="16"/>
  <c r="BF19" i="16"/>
  <c r="BG7" i="16"/>
  <c r="BF9" i="16"/>
  <c r="BG20" i="16" l="1"/>
  <c r="BG23" i="16"/>
  <c r="BG21" i="16"/>
  <c r="BG22" i="16"/>
  <c r="BG11" i="16"/>
  <c r="BG12" i="16"/>
  <c r="BG15" i="16"/>
  <c r="BG18" i="16"/>
  <c r="BG14" i="16"/>
  <c r="BG16" i="16"/>
  <c r="BG19" i="16"/>
  <c r="BG13" i="16"/>
  <c r="BG17" i="16"/>
  <c r="BG9" i="16"/>
  <c r="BG6" i="16"/>
  <c r="BH7" i="16"/>
  <c r="BH20" i="16" l="1"/>
  <c r="BH23" i="16"/>
  <c r="BH22" i="16"/>
  <c r="BH21" i="16"/>
  <c r="BH11" i="16"/>
  <c r="BH12" i="16"/>
  <c r="BH15" i="16"/>
  <c r="BH18" i="16"/>
  <c r="BH13" i="16"/>
  <c r="BH16" i="16"/>
  <c r="BH19" i="16"/>
  <c r="BH14" i="16"/>
  <c r="BH17" i="16"/>
  <c r="BH9" i="16"/>
  <c r="BI7" i="16"/>
  <c r="BI20" i="16" l="1"/>
  <c r="BI22" i="16"/>
  <c r="BI23" i="16"/>
  <c r="BI21" i="16"/>
  <c r="BI11" i="16"/>
  <c r="BI18" i="16"/>
  <c r="BI12" i="16"/>
  <c r="BI15" i="16"/>
  <c r="BI19" i="16"/>
  <c r="BI14" i="16"/>
  <c r="BI13" i="16"/>
  <c r="BI16" i="16"/>
  <c r="BI17" i="16"/>
  <c r="BJ7" i="16"/>
  <c r="BI9" i="16"/>
  <c r="BJ21" i="16" l="1"/>
  <c r="BJ22" i="16"/>
  <c r="BJ23" i="16"/>
  <c r="BJ20" i="16"/>
  <c r="BJ11" i="16"/>
  <c r="BJ13" i="16"/>
  <c r="BJ16" i="16"/>
  <c r="BJ19" i="16"/>
  <c r="BJ12" i="16"/>
  <c r="BJ15" i="16"/>
  <c r="BJ18" i="16"/>
  <c r="BJ14" i="16"/>
  <c r="BJ17" i="16"/>
  <c r="BJ9" i="16"/>
  <c r="BK7" i="16"/>
  <c r="BK21" i="16" l="1"/>
  <c r="BK22" i="16"/>
  <c r="BK23" i="16"/>
  <c r="BK20" i="16"/>
  <c r="BK11" i="16"/>
  <c r="BK13" i="16"/>
  <c r="BK16" i="16"/>
  <c r="BK19" i="16"/>
  <c r="BK12" i="16"/>
  <c r="BK15" i="16"/>
  <c r="BK14" i="16"/>
  <c r="BK18" i="16"/>
  <c r="BK17" i="16"/>
  <c r="BK9" i="16"/>
  <c r="BL7" i="16"/>
  <c r="BL21" i="16" l="1"/>
  <c r="BL22" i="16"/>
  <c r="BL20" i="16"/>
  <c r="BL23" i="16"/>
  <c r="BL11" i="16"/>
  <c r="BL13" i="16"/>
  <c r="BL16" i="16"/>
  <c r="BL19" i="16"/>
  <c r="BL12" i="16"/>
  <c r="BL18" i="16"/>
  <c r="BL14" i="16"/>
  <c r="BL17" i="16"/>
  <c r="BL15" i="16"/>
  <c r="BL9" i="16"/>
  <c r="BM7" i="16"/>
  <c r="BM21" i="16" l="1"/>
  <c r="BM20" i="16"/>
  <c r="BM22" i="16"/>
  <c r="BM23" i="16"/>
  <c r="BM11" i="16"/>
  <c r="BM13" i="16"/>
  <c r="BM16" i="16"/>
  <c r="BM19" i="16"/>
  <c r="BM14" i="16"/>
  <c r="BM15" i="16"/>
  <c r="BM17" i="16"/>
  <c r="BM18" i="16"/>
  <c r="BM12" i="16"/>
  <c r="BM9" i="16"/>
  <c r="G24" i="16"/>
  <c r="J24" i="16" l="1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AS24" i="16"/>
  <c r="AT24" i="16"/>
  <c r="AU24" i="16"/>
  <c r="AV24" i="16"/>
  <c r="AW24" i="16"/>
  <c r="AX24" i="16"/>
  <c r="AY24" i="16"/>
  <c r="AZ24" i="16"/>
  <c r="BA24" i="16"/>
  <c r="BB24" i="16"/>
  <c r="BC24" i="16"/>
  <c r="BD24" i="16"/>
  <c r="BE24" i="16"/>
  <c r="BF24" i="16"/>
  <c r="BG24" i="16"/>
  <c r="BH24" i="16"/>
  <c r="BI24" i="16"/>
  <c r="BJ24" i="16"/>
  <c r="BK24" i="16"/>
  <c r="BL24" i="16"/>
  <c r="BM24" i="16"/>
  <c r="G27" i="16"/>
  <c r="G26" i="16"/>
  <c r="G25" i="16"/>
  <c r="J26" i="16" l="1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V26" i="16"/>
  <c r="AW26" i="16"/>
  <c r="AX26" i="16"/>
  <c r="AY26" i="16"/>
  <c r="AZ26" i="16"/>
  <c r="BA26" i="16"/>
  <c r="BB26" i="16"/>
  <c r="BC26" i="16"/>
  <c r="BD26" i="16"/>
  <c r="BE26" i="16"/>
  <c r="BF26" i="16"/>
  <c r="BG26" i="16"/>
  <c r="BH26" i="16"/>
  <c r="BI26" i="16"/>
  <c r="BJ26" i="16"/>
  <c r="BK26" i="16"/>
  <c r="BL26" i="16"/>
  <c r="BM26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V27" i="16"/>
  <c r="AW27" i="16"/>
  <c r="AX27" i="16"/>
  <c r="AY27" i="16"/>
  <c r="AZ27" i="16"/>
  <c r="BA27" i="16"/>
  <c r="BB27" i="16"/>
  <c r="BC27" i="16"/>
  <c r="BD27" i="16"/>
  <c r="BE27" i="16"/>
  <c r="BF27" i="16"/>
  <c r="BG27" i="16"/>
  <c r="BH27" i="16"/>
  <c r="BI27" i="16"/>
  <c r="BJ27" i="16"/>
  <c r="BK27" i="16"/>
  <c r="BL27" i="16"/>
  <c r="BM27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BM25" i="16"/>
  <c r="G28" i="16"/>
  <c r="J28" i="16" l="1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G29" i="16"/>
  <c r="J29" i="16" l="1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G30" i="16"/>
  <c r="J30" i="16" l="1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G31" i="16"/>
  <c r="J31" i="16" l="1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G32" i="16"/>
  <c r="J32" i="16" l="1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BM32" i="16"/>
  <c r="G33" i="16"/>
  <c r="J33" i="16" l="1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BM33" i="16"/>
  <c r="G34" i="16"/>
  <c r="J34" i="16" l="1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AQ34" i="16"/>
  <c r="AR34" i="16"/>
  <c r="AS34" i="16"/>
  <c r="AT34" i="16"/>
  <c r="AU34" i="16"/>
  <c r="AV34" i="16"/>
  <c r="AW34" i="16"/>
  <c r="AX34" i="16"/>
  <c r="AY34" i="16"/>
  <c r="AZ34" i="16"/>
  <c r="BA34" i="16"/>
  <c r="BB34" i="16"/>
  <c r="BC34" i="16"/>
  <c r="BD34" i="16"/>
  <c r="BE34" i="16"/>
  <c r="BF34" i="16"/>
  <c r="BG34" i="16"/>
  <c r="BH34" i="16"/>
  <c r="BI34" i="16"/>
  <c r="BJ34" i="16"/>
  <c r="BK34" i="16"/>
  <c r="BL34" i="16"/>
  <c r="BM34" i="16"/>
  <c r="G35" i="16"/>
  <c r="J35" i="16" l="1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G36" i="16"/>
  <c r="J36" i="16" l="1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BM36" i="16"/>
  <c r="G37" i="16"/>
  <c r="J37" i="16" l="1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F37" i="16"/>
  <c r="BG37" i="16"/>
  <c r="BH37" i="16"/>
  <c r="BI37" i="16"/>
  <c r="BJ37" i="16"/>
  <c r="BK37" i="16"/>
  <c r="BL37" i="16"/>
  <c r="BM37" i="16"/>
  <c r="G38" i="16"/>
  <c r="J38" i="16" l="1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BM38" i="16"/>
  <c r="G39" i="16"/>
  <c r="J39" i="16" l="1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V39" i="16"/>
  <c r="AW39" i="16"/>
  <c r="AX39" i="16"/>
  <c r="AY39" i="16"/>
  <c r="AZ39" i="16"/>
  <c r="BA39" i="16"/>
  <c r="BB39" i="16"/>
  <c r="BC39" i="16"/>
  <c r="BD39" i="16"/>
  <c r="BE39" i="16"/>
  <c r="BF39" i="16"/>
  <c r="BG39" i="16"/>
  <c r="BH39" i="16"/>
  <c r="BI39" i="16"/>
  <c r="BJ39" i="16"/>
  <c r="BK39" i="16"/>
  <c r="BL39" i="16"/>
  <c r="BM39" i="16"/>
  <c r="G40" i="16"/>
  <c r="J40" i="16" l="1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AS40" i="16"/>
  <c r="AT40" i="16"/>
  <c r="AU40" i="16"/>
  <c r="AV40" i="16"/>
  <c r="AW40" i="16"/>
  <c r="AX40" i="16"/>
  <c r="AY40" i="16"/>
  <c r="AZ40" i="16"/>
  <c r="BA40" i="16"/>
  <c r="BB40" i="16"/>
  <c r="BC40" i="16"/>
  <c r="BD40" i="16"/>
  <c r="BE40" i="16"/>
  <c r="BF40" i="16"/>
  <c r="BG40" i="16"/>
  <c r="BH40" i="16"/>
  <c r="BI40" i="16"/>
  <c r="BJ40" i="16"/>
  <c r="BK40" i="16"/>
  <c r="BL40" i="16"/>
  <c r="BM40" i="16"/>
  <c r="G41" i="16"/>
  <c r="J41" i="16" l="1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BM41" i="16"/>
  <c r="G42" i="16"/>
  <c r="J42" i="16" l="1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AS42" i="16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J42" i="16"/>
  <c r="BK42" i="16"/>
  <c r="BL42" i="16"/>
  <c r="BM42" i="16"/>
  <c r="G43" i="16"/>
  <c r="J43" i="16" l="1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BM43" i="16"/>
  <c r="G44" i="16"/>
  <c r="G45" i="16" l="1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BM44" i="16"/>
  <c r="G46" i="16" l="1"/>
  <c r="BJ45" i="16"/>
  <c r="BI45" i="16"/>
  <c r="BC45" i="16"/>
  <c r="AV45" i="16"/>
  <c r="AM45" i="16"/>
  <c r="AL45" i="16"/>
  <c r="AK45" i="16"/>
  <c r="AD45" i="16"/>
  <c r="AB45" i="16"/>
  <c r="BM45" i="16"/>
  <c r="Y45" i="16"/>
  <c r="BL45" i="16"/>
  <c r="X45" i="16"/>
  <c r="BK45" i="16"/>
  <c r="T45" i="16"/>
  <c r="BB45" i="16"/>
  <c r="S45" i="16"/>
  <c r="AX45" i="16"/>
  <c r="R45" i="16"/>
  <c r="AW45" i="16"/>
  <c r="AR45" i="16"/>
  <c r="Q45" i="16"/>
  <c r="AQ45" i="16"/>
  <c r="AN45" i="16"/>
  <c r="P45" i="16"/>
  <c r="BA45" i="16"/>
  <c r="AJ45" i="16"/>
  <c r="O45" i="16"/>
  <c r="AZ45" i="16"/>
  <c r="AF45" i="16"/>
  <c r="N45" i="16"/>
  <c r="AY45" i="16"/>
  <c r="AE45" i="16"/>
  <c r="M45" i="16"/>
  <c r="AC45" i="16"/>
  <c r="BH45" i="16"/>
  <c r="AP45" i="16"/>
  <c r="AA45" i="16"/>
  <c r="L45" i="16"/>
  <c r="BD45" i="16"/>
  <c r="AO45" i="16"/>
  <c r="Z45" i="16"/>
  <c r="BG45" i="16"/>
  <c r="AU45" i="16"/>
  <c r="AI45" i="16"/>
  <c r="W45" i="16"/>
  <c r="K45" i="16"/>
  <c r="BF45" i="16"/>
  <c r="AT45" i="16"/>
  <c r="AH45" i="16"/>
  <c r="V45" i="16"/>
  <c r="J45" i="16"/>
  <c r="BE45" i="16"/>
  <c r="AS45" i="16"/>
  <c r="AG45" i="16"/>
  <c r="U45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AD46" i="16"/>
  <c r="AE46" i="16"/>
  <c r="AF46" i="16"/>
  <c r="AG46" i="16"/>
  <c r="AH46" i="16"/>
  <c r="AI46" i="16"/>
  <c r="AJ46" i="16"/>
  <c r="AK46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BM46" i="16"/>
  <c r="G47" i="16" l="1"/>
  <c r="G48" i="16" s="1"/>
  <c r="G50" i="16" l="1"/>
  <c r="M48" i="16"/>
  <c r="AB48" i="16"/>
  <c r="AO48" i="16"/>
  <c r="BA48" i="16"/>
  <c r="BM48" i="16"/>
  <c r="BJ48" i="16"/>
  <c r="AZ48" i="16"/>
  <c r="O48" i="16"/>
  <c r="AC48" i="16"/>
  <c r="AP48" i="16"/>
  <c r="BB48" i="16"/>
  <c r="AK48" i="16"/>
  <c r="AY48" i="16"/>
  <c r="P48" i="16"/>
  <c r="AD48" i="16"/>
  <c r="AQ48" i="16"/>
  <c r="BC48" i="16"/>
  <c r="AX48" i="16"/>
  <c r="Q48" i="16"/>
  <c r="AE48" i="16"/>
  <c r="AR48" i="16"/>
  <c r="BD48" i="16"/>
  <c r="Y48" i="16"/>
  <c r="R48" i="16"/>
  <c r="AF48" i="16"/>
  <c r="AS48" i="16"/>
  <c r="BE48" i="16"/>
  <c r="J48" i="16"/>
  <c r="BK48" i="16"/>
  <c r="S48" i="16"/>
  <c r="AG48" i="16"/>
  <c r="AT48" i="16"/>
  <c r="BF48" i="16"/>
  <c r="BG48" i="16"/>
  <c r="K48" i="16"/>
  <c r="T48" i="16"/>
  <c r="AH48" i="16"/>
  <c r="AU48" i="16"/>
  <c r="X48" i="16"/>
  <c r="AN48" i="16"/>
  <c r="V48" i="16"/>
  <c r="AI48" i="16"/>
  <c r="AV48" i="16"/>
  <c r="BH48" i="16"/>
  <c r="L48" i="16"/>
  <c r="Z48" i="16"/>
  <c r="BL48" i="16"/>
  <c r="W48" i="16"/>
  <c r="AJ48" i="16"/>
  <c r="AW48" i="16"/>
  <c r="BI48" i="16"/>
  <c r="AL48" i="16"/>
  <c r="AM48" i="16"/>
  <c r="U48" i="16"/>
  <c r="AA48" i="16"/>
  <c r="N48" i="16"/>
  <c r="P47" i="16"/>
  <c r="AB47" i="16"/>
  <c r="AN47" i="16"/>
  <c r="AZ47" i="16"/>
  <c r="BL47" i="16"/>
  <c r="Q47" i="16"/>
  <c r="AC47" i="16"/>
  <c r="AO47" i="16"/>
  <c r="BA47" i="16"/>
  <c r="AS47" i="16"/>
  <c r="J47" i="16"/>
  <c r="AT47" i="16"/>
  <c r="BF47" i="16"/>
  <c r="AL47" i="16"/>
  <c r="AM47" i="16"/>
  <c r="BM47" i="16"/>
  <c r="R47" i="16"/>
  <c r="AD47" i="16"/>
  <c r="AP47" i="16"/>
  <c r="BB47" i="16"/>
  <c r="AH47" i="16"/>
  <c r="AW47" i="16"/>
  <c r="AF47" i="16"/>
  <c r="AG47" i="16"/>
  <c r="AU47" i="16"/>
  <c r="AX47" i="16"/>
  <c r="S47" i="16"/>
  <c r="AE47" i="16"/>
  <c r="AQ47" i="16"/>
  <c r="BC47" i="16"/>
  <c r="T47" i="16"/>
  <c r="AR47" i="16"/>
  <c r="BD47" i="16"/>
  <c r="K47" i="16"/>
  <c r="W47" i="16"/>
  <c r="AI47" i="16"/>
  <c r="BH47" i="16"/>
  <c r="O47" i="16"/>
  <c r="BE47" i="16"/>
  <c r="BG47" i="16"/>
  <c r="Z47" i="16"/>
  <c r="AA47" i="16"/>
  <c r="U47" i="16"/>
  <c r="V47" i="16"/>
  <c r="L47" i="16"/>
  <c r="Y47" i="16"/>
  <c r="BK47" i="16"/>
  <c r="G49" i="16"/>
  <c r="AV47" i="16"/>
  <c r="M47" i="16"/>
  <c r="N47" i="16"/>
  <c r="BJ47" i="16"/>
  <c r="AJ47" i="16"/>
  <c r="AK47" i="16"/>
  <c r="BI47" i="16"/>
  <c r="AY47" i="16"/>
  <c r="X47" i="16"/>
  <c r="J50" i="16" l="1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BE49" i="16"/>
  <c r="BF49" i="16"/>
  <c r="BG49" i="16"/>
  <c r="BH49" i="16"/>
  <c r="BI49" i="16"/>
  <c r="BJ49" i="16"/>
  <c r="BK49" i="16"/>
  <c r="BL49" i="16"/>
  <c r="BM49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1" authorId="0" shapeId="0" xr:uid="{41A8E95D-A332-4CFD-A430-41D75CE7255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Goal: 
- Fully specify the system before implementation.</t>
        </r>
      </text>
    </comment>
    <comment ref="C12" authorId="0" shapeId="0" xr:uid="{A03F2E69-018C-467C-B9EB-4B6733FB77A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Topic hierarchy documented
- Telemetry topics defined
- Heartbeat topics defined
- Naming conventions documented
Deliverable:
- mqtt-contract.md</t>
        </r>
      </text>
    </comment>
    <comment ref="C13" authorId="0" shapeId="0" xr:uid="{6A1F1510-8B9E-491E-983F-31EE5AB2C08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JSON schema documented
- Versioning strategy defined
- Validation rules defined
- Example payloads included
Deliverable:
- mqtt-contract.md</t>
        </r>
      </text>
    </comment>
    <comment ref="C14" authorId="0" shapeId="0" xr:uid="{96A1D217-1760-4C10-8284-7BB28033D17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Heartbeat payload defined
- Online/offline strategy documented
Deliverable:
- mqtt-contract.md</t>
        </r>
      </text>
    </comment>
    <comment ref="C15" authorId="0" shapeId="0" xr:uid="{ADDA2264-9C64-4DB6-AE31-D2A0C12F823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All endpoints documented
- Request/response schemas defined
- Error model defined
Deliverable:
- api-specification.md</t>
        </r>
      </text>
    </comment>
    <comment ref="C16" authorId="0" shapeId="0" xr:uid="{6D67A347-B85D-4BA7-BFBE-E7BD5DC02A5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Minute aggregation defined
- Hourly aggregation defined
- Daily aggregation defined
- Checkpoint strategy defined
Deliverable:
- aggregation-design.md</t>
        </r>
      </text>
    </comment>
    <comment ref="C17" authorId="0" shapeId="0" xr:uid="{A486308F-0787-4EDA-9D28-0DFAEF7C867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Telemetry ingestion flow
- Assignment flow
- Aggregation flow
Deliverable:
- sequence-diagrams.md</t>
        </r>
      </text>
    </comment>
    <comment ref="C18" authorId="0" shapeId="0" xr:uid="{DFAF7F67-008F-43F5-B3C4-48CDEA9FB30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Goal: 
- Create the .NET solution skeleton.</t>
        </r>
      </text>
    </comment>
    <comment ref="C19" authorId="0" shapeId="0" xr:uid="{584F7A67-1EB7-4488-AD7F-35DFA9A3E8C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Deliverables:
- EnergyAnalytics.sln
    - Energy.Domain
    - Energy.Infrastructure
    - Energy.API
    - Energy.TelemetryIngestion</t>
        </r>
      </text>
    </comment>
    <comment ref="C20" authorId="0" shapeId="0" xr:uid="{3C4E9092-2FA7-4807-843B-A1910CA8319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SQL Server configured
- EF Core configured
- Migrations enabled</t>
        </r>
      </text>
    </comment>
    <comment ref="C21" authorId="0" shapeId="0" xr:uid="{A6C0436C-A7D5-4D1F-AC7A-E6B462708DB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Entities:
- Room
- Monitor
- Channel
- ChannelAssignment
- TelemetrySample
- TelemetryMinute
- TelemetryHourly
- TelemetryDaily
- EnergyTariff
- AggregationCheckpoint</t>
        </r>
      </text>
    </comment>
    <comment ref="C22" authorId="0" shapeId="0" xr:uid="{9C9AF20B-3A64-475F-8BC3-7D7A20B8AA8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Relationships mapped
- Composite keys mapped
- Indexes mapped</t>
        </r>
      </text>
    </comment>
    <comment ref="C23" authorId="0" shapeId="0" xr:uid="{17EA12F1-B4FE-40D9-B4E8-49ECE21F72F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Goal: 
- Database becomes deployable.</t>
        </r>
      </text>
    </comment>
    <comment ref="C27" authorId="0" shapeId="0" xr:uid="{753E78CC-89DD-4AAA-94B9-FF0C4BAC3D8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Telemetry queries benchmarked
- Aggregation queries benchmarked</t>
        </r>
      </text>
    </comment>
    <comment ref="C28" authorId="0" shapeId="0" xr:uid="{CEB78F39-9B09-4B20-B9CC-DE93CC9AA37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Goal:
- Receive and persist telemetry.</t>
        </r>
      </text>
    </comment>
    <comment ref="C30" authorId="0" shapeId="0" xr:uid="{CFF71583-0EED-4F3A-B87C-8E80171DB5D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Topics:
- energy/{monitorId}/telemetry
- energy/{monitorId}/heartbeat</t>
        </r>
      </text>
    </comment>
    <comment ref="C31" authorId="0" shapeId="0" xr:uid="{553AC18E-FCD7-4BE3-B6C0-102F7DE94FF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Invalid payloads rejected
- Schema version validated</t>
        </r>
      </text>
    </comment>
    <comment ref="C32" authorId="0" shapeId="0" xr:uid="{8A3241A7-EA88-4636-8C09-4D91E8B01AE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Telemetry stored successfully
- High-volume ingestion tested</t>
        </r>
      </text>
    </comment>
    <comment ref="C33" authorId="0" shapeId="0" xr:uid="{C7B40C49-3942-455D-BB28-30FA0A46BA0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LastHeartbeat updated</t>
        </r>
      </text>
    </comment>
    <comment ref="C34" authorId="0" shapeId="0" xr:uid="{3B1F1C93-0CEE-4F0F-8364-B3FC12A20F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Goal: 
- Generate analytical projections.</t>
        </r>
      </text>
    </comment>
    <comment ref="C35" authorId="0" shapeId="0" xr:uid="{62A43E74-954C-4C92-B577-F1DB9BC4A4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Creates:
- TelemetryMinute</t>
        </r>
      </text>
    </comment>
    <comment ref="C36" authorId="0" shapeId="0" xr:uid="{7FDEE452-0135-466F-8986-22CA3AF5F33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Creates:
- TelemetryHourly</t>
        </r>
      </text>
    </comment>
    <comment ref="C37" authorId="0" shapeId="0" xr:uid="{C4C86904-FC10-4709-B945-CAF17AFD28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Creates:
- TelemetryDaily</t>
        </r>
      </text>
    </comment>
    <comment ref="C38" authorId="0" shapeId="0" xr:uid="{6A6C70E6-5F91-4837-B45E-6446CCCAC0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Acceptance Criteria:
- Recover after restart
- No duplicate aggregation</t>
        </r>
      </text>
    </comment>
    <comment ref="C39" authorId="0" shapeId="0" xr:uid="{B2929F48-D831-4D6E-BED8-B77162CDD0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Goal: 
- Expose business capabilities.</t>
        </r>
      </text>
    </comment>
    <comment ref="C43" authorId="0" shapeId="0" xr:uid="{F351FDED-23F4-46E8-AF7F-9FF9EC8160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Acceptance Criteria:
- Only one active assignment
- Previous assignment automatically closed</t>
        </r>
      </text>
    </comment>
    <comment ref="C45" authorId="0" shapeId="0" xr:uid="{7A547B7A-A626-40A2-862F-CCCA0CF376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Examples:
- Daily
- Hourly
- Realtime</t>
        </r>
      </text>
    </comment>
    <comment ref="C46" authorId="0" shapeId="0" xr:uid="{94B5A4CF-93A0-4B90-B851-622E12C532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Goal: 
- System works as a complete platform.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<sst xmlns="http://schemas.openxmlformats.org/spreadsheetml/2006/main" count="330" uniqueCount="121">
  <si>
    <t>SOBRE ESTE GRÁFICO DE GANTT</t>
  </si>
  <si>
    <t xml:space="preserve">Visualize e controle seus projetos usando este modelo de gráfico de Gantt. Para começar, insira as tarefas em que você está trabalhando na seção Descrição do Marco e insira os detalhes de cada tarefa. Os dados serão atualizados automaticamente e será fácil inserir novas tarefas ou usar a barra de rolagem para rolar pela linha do tempo. </t>
  </si>
  <si>
    <t xml:space="preserve">• Use o Progresso para adicionar quanto do projeto você concluiu adicionando um número de porcentagem. 
• Adicione o dia de início do seu projeto na Data de Início. 
• Conclua os cálculos preenchendo o número de dias necessários para concluir o projeto No campo No. de Dias. </t>
  </si>
  <si>
    <t>TÍTULO DO PROJETO</t>
  </si>
  <si>
    <t>Nome da empresa</t>
  </si>
  <si>
    <t>Líder do Projeto</t>
  </si>
  <si>
    <t>Data de Início do Projeto:</t>
  </si>
  <si>
    <t>Incremento de Rolagem:</t>
  </si>
  <si>
    <t>Descrição do marco</t>
  </si>
  <si>
    <t>TÍTULO 1</t>
  </si>
  <si>
    <t>Tarefa 1</t>
  </si>
  <si>
    <t>Tarefa 2</t>
  </si>
  <si>
    <t>Tarefa 3</t>
  </si>
  <si>
    <t>Tarefa 4</t>
  </si>
  <si>
    <t>Tarefa 5</t>
  </si>
  <si>
    <t>TÍTULO 2</t>
  </si>
  <si>
    <t>TÍTULO 3</t>
  </si>
  <si>
    <t>TÍTULO 4</t>
  </si>
  <si>
    <t>Para adicionar mais dados, insira novas linhas ACIMA desta.</t>
  </si>
  <si>
    <t>Categoria</t>
  </si>
  <si>
    <t>Objetivo</t>
  </si>
  <si>
    <t>Marco</t>
  </si>
  <si>
    <t>Baixo risco</t>
  </si>
  <si>
    <t>Médio risco</t>
  </si>
  <si>
    <t>Alto risco</t>
  </si>
  <si>
    <t>No prazo</t>
  </si>
  <si>
    <t>Atribuído a</t>
  </si>
  <si>
    <t>Nome</t>
  </si>
  <si>
    <t>Progresso</t>
  </si>
  <si>
    <t>Início</t>
  </si>
  <si>
    <t>Legenda:</t>
  </si>
  <si>
    <t>Dias</t>
  </si>
  <si>
    <t>Não atribuído</t>
  </si>
  <si>
    <t>Define MQTT Topic Structure</t>
  </si>
  <si>
    <t>System Design</t>
  </si>
  <si>
    <t>Define MQTT Telemetry Payload Contract</t>
  </si>
  <si>
    <t>Define MQTT Heartbeat Contract</t>
  </si>
  <si>
    <t>Design REST API Contract</t>
  </si>
  <si>
    <t>Design Telemetry Aggregation Strategy</t>
  </si>
  <si>
    <t>Create Sequence Diagrams</t>
  </si>
  <si>
    <t>Solution Foundation</t>
  </si>
  <si>
    <t>Create Solution Structure</t>
  </si>
  <si>
    <t>Configure Shared Infrastructure Project</t>
  </si>
  <si>
    <t>Implement Domain Entities</t>
  </si>
  <si>
    <t>Implement EF Core Configurations</t>
  </si>
  <si>
    <t>Database Layer</t>
  </si>
  <si>
    <t>Create Initial Migration</t>
  </si>
  <si>
    <t>Generate Database Schema</t>
  </si>
  <si>
    <t>Seed Default Data</t>
  </si>
  <si>
    <t>Validate Query Performance</t>
  </si>
  <si>
    <t>TAG</t>
  </si>
  <si>
    <t>Tipo</t>
  </si>
  <si>
    <t>A quem?</t>
  </si>
  <si>
    <t>Predecessora</t>
  </si>
  <si>
    <t>Paralela</t>
  </si>
  <si>
    <t>SD-001</t>
  </si>
  <si>
    <t>SD-002</t>
  </si>
  <si>
    <t>SD-003</t>
  </si>
  <si>
    <t>SD-004</t>
  </si>
  <si>
    <t>SD-005</t>
  </si>
  <si>
    <t>SD-006</t>
  </si>
  <si>
    <t>SD</t>
  </si>
  <si>
    <t>SF</t>
  </si>
  <si>
    <t>POWER MONITOR</t>
  </si>
  <si>
    <t>HIGHLANDER'S</t>
  </si>
  <si>
    <t>TASSIO MANGUEIRA</t>
  </si>
  <si>
    <t>SF-001</t>
  </si>
  <si>
    <t>SF-003</t>
  </si>
  <si>
    <t>SF-002</t>
  </si>
  <si>
    <t>SF-004</t>
  </si>
  <si>
    <t>DB</t>
  </si>
  <si>
    <t>DB-001</t>
  </si>
  <si>
    <t>DB-002</t>
  </si>
  <si>
    <t>DB-003</t>
  </si>
  <si>
    <t>DB-004</t>
  </si>
  <si>
    <t>Telemetry Ingestion Service</t>
  </si>
  <si>
    <t>TI</t>
  </si>
  <si>
    <t>Implement Payload Validation</t>
  </si>
  <si>
    <t>TI-001</t>
  </si>
  <si>
    <t>TI-002</t>
  </si>
  <si>
    <t>Implement MQTT Topic Subscriptions</t>
  </si>
  <si>
    <t>TI-003</t>
  </si>
  <si>
    <t>TI-004</t>
  </si>
  <si>
    <t>TI-005</t>
  </si>
  <si>
    <t>Configure MQTT Client</t>
  </si>
  <si>
    <t>Persist TelemetrySample Records</t>
  </si>
  <si>
    <t>Update Monitor Heartbeats</t>
  </si>
  <si>
    <t>AG</t>
  </si>
  <si>
    <t>Aggregation Engine</t>
  </si>
  <si>
    <t>AG-001</t>
  </si>
  <si>
    <t>Implement Minute Aggregation</t>
  </si>
  <si>
    <t>AG-002</t>
  </si>
  <si>
    <t>Implement Hourly Aggregation</t>
  </si>
  <si>
    <t>AG-003</t>
  </si>
  <si>
    <t>Implement Daily Aggregation</t>
  </si>
  <si>
    <t>AG-004</t>
  </si>
  <si>
    <t>Implement AggregationCheckpoint Logic</t>
  </si>
  <si>
    <t>API</t>
  </si>
  <si>
    <t>Energy Analytics API</t>
  </si>
  <si>
    <t>API-001</t>
  </si>
  <si>
    <t>Room CRUD</t>
  </si>
  <si>
    <t>Monitor CRUD</t>
  </si>
  <si>
    <t>Channel Queries</t>
  </si>
  <si>
    <t>API-002</t>
  </si>
  <si>
    <t>API-003</t>
  </si>
  <si>
    <t>Channel Assignment Management</t>
  </si>
  <si>
    <t>API-004</t>
  </si>
  <si>
    <t>API-005</t>
  </si>
  <si>
    <t>Energy Tariff Management</t>
  </si>
  <si>
    <t>API-006</t>
  </si>
  <si>
    <t>Telemetry Query Endpoints</t>
  </si>
  <si>
    <t>End-to-End Validation</t>
  </si>
  <si>
    <t>E2E</t>
  </si>
  <si>
    <t>E2E-001</t>
  </si>
  <si>
    <t>ESP32 → MQTT → SQL Server</t>
  </si>
  <si>
    <t>E2E-002</t>
  </si>
  <si>
    <t>Telemetry Aggregation Validation</t>
  </si>
  <si>
    <t>Assignment History Validation</t>
  </si>
  <si>
    <t>Cost Calculation Validation</t>
  </si>
  <si>
    <t>E2E-003</t>
  </si>
  <si>
    <t>E2E-004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</si>
</sst>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#,##0_ ;\-#,##0\ "/>
    <numFmt numFmtId="166" formatCode="d"/>
  </numFmts>
  <fonts count="5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20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Calibri"/>
      <family val="2"/>
      <scheme val="major"/>
    </font>
    <font>
      <b/>
      <sz val="22"/>
      <name val="Calibri"/>
      <family val="2"/>
      <scheme val="major"/>
    </font>
    <font>
      <sz val="14"/>
      <color theme="0"/>
      <name val="Calibri"/>
      <family val="2"/>
      <scheme val="minor"/>
    </font>
    <font>
      <b/>
      <sz val="26"/>
      <color theme="0"/>
      <name val="Calibri"/>
      <family val="2"/>
      <scheme val="maj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26"/>
      <name val="Calibri"/>
      <family val="2"/>
      <scheme val="major"/>
    </font>
    <font>
      <b/>
      <sz val="16"/>
      <color rgb="FF000000"/>
      <name val="Calibri"/>
      <family val="2"/>
      <scheme val="minor"/>
    </font>
    <font>
      <sz val="22"/>
      <name val="Corbel"/>
      <family val="2"/>
    </font>
    <font>
      <sz val="20"/>
      <color theme="8" tint="0.59999389629810485"/>
      <name val="Calibri"/>
      <family val="2"/>
      <scheme val="major"/>
    </font>
    <font>
      <b/>
      <sz val="24"/>
      <color theme="0"/>
      <name val="Calibri"/>
      <family val="2"/>
      <scheme val="major"/>
    </font>
    <font>
      <sz val="14"/>
      <name val="Corbel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Protection="0">
      <alignment horizontal="center" vertical="center"/>
    </xf>
    <xf numFmtId="0" fontId="10" fillId="0" borderId="0"/>
    <xf numFmtId="164" fontId="4" fillId="0" borderId="1" applyFont="0" applyFill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vertical="center" indent="1"/>
    </xf>
    <xf numFmtId="14" fontId="4" fillId="0" borderId="0" applyFont="0" applyFill="0" applyBorder="0">
      <alignment horizontal="center" vertical="center"/>
    </xf>
    <xf numFmtId="165" fontId="4" fillId="0" borderId="0" applyFont="0" applyFill="0" applyBorder="0" applyProtection="0">
      <alignment horizontal="center" vertical="center"/>
    </xf>
    <xf numFmtId="0" fontId="10" fillId="3" borderId="0" applyNumberFormat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15" borderId="0" applyNumberFormat="0" applyBorder="0" applyAlignment="0" applyProtection="0"/>
    <xf numFmtId="0" fontId="36" fillId="16" borderId="0" applyNumberFormat="0" applyBorder="0" applyAlignment="0" applyProtection="0"/>
    <xf numFmtId="0" fontId="37" fillId="17" borderId="0" applyNumberFormat="0" applyBorder="0" applyAlignment="0" applyProtection="0"/>
    <xf numFmtId="0" fontId="38" fillId="18" borderId="19" applyNumberFormat="0" applyAlignment="0" applyProtection="0"/>
    <xf numFmtId="0" fontId="39" fillId="19" borderId="20" applyNumberFormat="0" applyAlignment="0" applyProtection="0"/>
    <xf numFmtId="0" fontId="40" fillId="19" borderId="19" applyNumberFormat="0" applyAlignment="0" applyProtection="0"/>
    <xf numFmtId="0" fontId="41" fillId="0" borderId="21" applyNumberFormat="0" applyFill="0" applyAlignment="0" applyProtection="0"/>
    <xf numFmtId="0" fontId="21" fillId="20" borderId="22" applyNumberFormat="0" applyAlignment="0" applyProtection="0"/>
    <xf numFmtId="0" fontId="42" fillId="0" borderId="0" applyNumberFormat="0" applyFill="0" applyBorder="0" applyAlignment="0" applyProtection="0"/>
    <xf numFmtId="0" fontId="4" fillId="21" borderId="23" applyNumberFormat="0" applyFont="0" applyAlignment="0" applyProtection="0"/>
    <xf numFmtId="0" fontId="43" fillId="0" borderId="0" applyNumberFormat="0" applyFill="0" applyBorder="0" applyAlignment="0" applyProtection="0"/>
    <xf numFmtId="0" fontId="44" fillId="0" borderId="24" applyNumberFormat="0" applyFill="0" applyAlignment="0" applyProtection="0"/>
    <xf numFmtId="0" fontId="10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0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0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10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10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</cellStyleXfs>
  <cellXfs count="1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7" fillId="0" borderId="0" xfId="0" applyFont="1"/>
    <xf numFmtId="0" fontId="8" fillId="0" borderId="0" xfId="1" applyFont="1" applyAlignment="1" applyProtection="1"/>
    <xf numFmtId="0" fontId="1" fillId="0" borderId="0" xfId="0" applyFont="1"/>
    <xf numFmtId="0" fontId="9" fillId="0" borderId="0" xfId="0" applyFont="1"/>
    <xf numFmtId="0" fontId="1" fillId="0" borderId="0" xfId="0" applyFont="1" applyAlignment="1">
      <alignment vertical="top"/>
    </xf>
    <xf numFmtId="0" fontId="10" fillId="0" borderId="0" xfId="3"/>
    <xf numFmtId="0" fontId="10" fillId="0" borderId="0" xfId="3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0" xfId="2" applyFont="1" applyFill="1" applyBorder="1">
      <alignment horizontal="center" vertical="center"/>
    </xf>
    <xf numFmtId="14" fontId="0" fillId="0" borderId="0" xfId="9" applyFont="1" applyFill="1" applyBorder="1">
      <alignment horizontal="center" vertical="center"/>
    </xf>
    <xf numFmtId="165" fontId="0" fillId="0" borderId="0" xfId="10" applyFont="1" applyFill="1" applyBorder="1">
      <alignment horizontal="center" vertical="center"/>
    </xf>
    <xf numFmtId="0" fontId="0" fillId="0" borderId="0" xfId="0" applyAlignment="1">
      <alignment horizontal="left" wrapText="1" indent="2"/>
    </xf>
    <xf numFmtId="0" fontId="3" fillId="10" borderId="0" xfId="0" applyFont="1" applyFill="1" applyAlignment="1">
      <alignment horizontal="center" vertical="center"/>
    </xf>
    <xf numFmtId="0" fontId="0" fillId="9" borderId="0" xfId="0" applyFill="1"/>
    <xf numFmtId="0" fontId="10" fillId="0" borderId="0" xfId="0" applyFont="1" applyAlignment="1">
      <alignment horizontal="center" vertical="center"/>
    </xf>
    <xf numFmtId="14" fontId="10" fillId="0" borderId="0" xfId="9" applyFont="1" applyFill="1" applyBorder="1">
      <alignment horizontal="center" vertical="center"/>
    </xf>
    <xf numFmtId="165" fontId="10" fillId="0" borderId="0" xfId="10" applyFont="1" applyFill="1" applyBorder="1">
      <alignment horizontal="center" vertical="center"/>
    </xf>
    <xf numFmtId="0" fontId="10" fillId="0" borderId="0" xfId="0" applyFont="1" applyAlignment="1">
      <alignment horizontal="left" vertical="center" wrapText="1" indent="2"/>
    </xf>
    <xf numFmtId="0" fontId="0" fillId="0" borderId="4" xfId="0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20" fillId="10" borderId="0" xfId="0" applyFont="1" applyFill="1"/>
    <xf numFmtId="0" fontId="20" fillId="10" borderId="0" xfId="0" applyFont="1" applyFill="1" applyAlignment="1">
      <alignment horizontal="center"/>
    </xf>
    <xf numFmtId="0" fontId="10" fillId="10" borderId="0" xfId="0" applyFont="1" applyFill="1" applyAlignment="1">
      <alignment horizontal="right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14" fontId="10" fillId="10" borderId="0" xfId="9" applyFont="1" applyFill="1" applyBorder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0" fillId="0" borderId="7" xfId="0" applyBorder="1" applyAlignment="1">
      <alignment vertical="center"/>
    </xf>
    <xf numFmtId="0" fontId="12" fillId="9" borderId="6" xfId="0" applyFont="1" applyFill="1" applyBorder="1" applyAlignment="1">
      <alignment horizontal="center" vertical="center" shrinkToFit="1"/>
    </xf>
    <xf numFmtId="0" fontId="0" fillId="0" borderId="6" xfId="0" applyBorder="1" applyAlignment="1">
      <alignment vertical="center"/>
    </xf>
    <xf numFmtId="0" fontId="23" fillId="10" borderId="0" xfId="5" applyFont="1" applyFill="1" applyBorder="1" applyAlignment="1">
      <alignment horizontal="left" vertical="center"/>
    </xf>
    <xf numFmtId="0" fontId="22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vertical="center"/>
    </xf>
    <xf numFmtId="0" fontId="17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vertical="center"/>
    </xf>
    <xf numFmtId="0" fontId="0" fillId="10" borderId="13" xfId="0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 wrapText="1"/>
    </xf>
    <xf numFmtId="0" fontId="10" fillId="10" borderId="0" xfId="8" applyFont="1" applyFill="1" applyAlignment="1">
      <alignment horizontal="left" vertical="center" indent="2"/>
    </xf>
    <xf numFmtId="0" fontId="19" fillId="10" borderId="0" xfId="6" applyFont="1" applyFill="1" applyAlignment="1">
      <alignment horizontal="left" vertical="center" indent="2"/>
    </xf>
    <xf numFmtId="0" fontId="20" fillId="10" borderId="0" xfId="0" applyFont="1" applyFill="1" applyAlignment="1">
      <alignment horizontal="left" vertical="center" indent="2"/>
    </xf>
    <xf numFmtId="0" fontId="0" fillId="10" borderId="0" xfId="0" applyFill="1" applyAlignment="1">
      <alignment horizontal="left" vertical="center" indent="2"/>
    </xf>
    <xf numFmtId="14" fontId="20" fillId="10" borderId="0" xfId="9" applyFont="1" applyFill="1" applyBorder="1" applyAlignment="1">
      <alignment horizontal="left" vertical="center" indent="2"/>
    </xf>
    <xf numFmtId="0" fontId="26" fillId="10" borderId="0" xfId="6" applyFont="1" applyFill="1" applyAlignment="1">
      <alignment horizontal="left" vertical="center" indent="2"/>
    </xf>
    <xf numFmtId="0" fontId="26" fillId="10" borderId="0" xfId="0" applyFont="1" applyFill="1" applyAlignment="1">
      <alignment horizontal="left" vertical="center" indent="2"/>
    </xf>
    <xf numFmtId="0" fontId="0" fillId="10" borderId="0" xfId="0" applyFill="1" applyAlignment="1">
      <alignment horizontal="center" vertical="center"/>
    </xf>
    <xf numFmtId="14" fontId="0" fillId="10" borderId="0" xfId="9" applyFont="1" applyFill="1">
      <alignment horizontal="center" vertical="center"/>
    </xf>
    <xf numFmtId="165" fontId="0" fillId="10" borderId="0" xfId="10" applyFont="1" applyFill="1">
      <alignment horizontal="center" vertical="center"/>
    </xf>
    <xf numFmtId="0" fontId="3" fillId="0" borderId="0" xfId="0" applyFont="1" applyAlignment="1">
      <alignment horizontal="center" vertical="center"/>
    </xf>
    <xf numFmtId="9" fontId="16" fillId="0" borderId="0" xfId="2" applyFont="1" applyFill="1" applyBorder="1">
      <alignment horizontal="center" vertical="center"/>
    </xf>
    <xf numFmtId="14" fontId="3" fillId="0" borderId="0" xfId="9" applyFont="1" applyFill="1" applyBorder="1">
      <alignment horizontal="center" vertical="center"/>
    </xf>
    <xf numFmtId="165" fontId="3" fillId="0" borderId="0" xfId="10" applyFont="1" applyFill="1" applyBorder="1">
      <alignment horizontal="center" vertical="center"/>
    </xf>
    <xf numFmtId="0" fontId="3" fillId="0" borderId="0" xfId="0" applyFont="1" applyAlignment="1">
      <alignment horizontal="left" vertical="center" wrapText="1" indent="2"/>
    </xf>
    <xf numFmtId="0" fontId="15" fillId="0" borderId="0" xfId="0" applyFont="1"/>
    <xf numFmtId="0" fontId="3" fillId="2" borderId="0" xfId="0" applyFont="1" applyFill="1"/>
    <xf numFmtId="0" fontId="23" fillId="0" borderId="0" xfId="5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27" fillId="0" borderId="0" xfId="6" applyFont="1" applyFill="1" applyAlignment="1">
      <alignment horizontal="left" vertical="center" indent="2"/>
    </xf>
    <xf numFmtId="0" fontId="17" fillId="0" borderId="0" xfId="6" applyFont="1" applyFill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 indent="2"/>
    </xf>
    <xf numFmtId="0" fontId="3" fillId="0" borderId="0" xfId="8" applyFont="1" applyFill="1" applyAlignment="1">
      <alignment horizontal="left" vertical="center" indent="2"/>
    </xf>
    <xf numFmtId="14" fontId="3" fillId="0" borderId="0" xfId="9" applyFont="1" applyFill="1" applyBorder="1" applyAlignment="1">
      <alignment horizontal="left" vertical="center"/>
    </xf>
    <xf numFmtId="14" fontId="3" fillId="0" borderId="0" xfId="9" applyFont="1" applyFill="1" applyBorder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0" fontId="3" fillId="0" borderId="3" xfId="0" applyFont="1" applyBorder="1"/>
    <xf numFmtId="0" fontId="17" fillId="0" borderId="0" xfId="0" applyFont="1" applyAlignment="1">
      <alignment vertical="center"/>
    </xf>
    <xf numFmtId="14" fontId="3" fillId="0" borderId="0" xfId="9" applyFont="1" applyFill="1">
      <alignment horizontal="center" vertical="center"/>
    </xf>
    <xf numFmtId="165" fontId="3" fillId="0" borderId="0" xfId="10" applyFont="1" applyFill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5" fillId="0" borderId="10" xfId="0" applyFont="1" applyBorder="1"/>
    <xf numFmtId="0" fontId="27" fillId="0" borderId="10" xfId="0" applyFont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13" borderId="0" xfId="0" applyFont="1" applyFill="1"/>
    <xf numFmtId="0" fontId="1" fillId="14" borderId="1" xfId="0" applyFont="1" applyFill="1" applyBorder="1" applyAlignment="1">
      <alignment horizontal="center" vertical="center" shrinkToFit="1"/>
    </xf>
    <xf numFmtId="0" fontId="30" fillId="0" borderId="0" xfId="6" applyFont="1" applyFill="1" applyAlignment="1">
      <alignment vertical="center"/>
    </xf>
    <xf numFmtId="0" fontId="9" fillId="2" borderId="0" xfId="0" applyFont="1" applyFill="1"/>
    <xf numFmtId="0" fontId="31" fillId="2" borderId="0" xfId="0" applyFont="1" applyFill="1"/>
    <xf numFmtId="0" fontId="23" fillId="2" borderId="0" xfId="6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wrapText="1"/>
    </xf>
    <xf numFmtId="0" fontId="9" fillId="13" borderId="0" xfId="0" applyFont="1" applyFill="1"/>
    <xf numFmtId="0" fontId="21" fillId="9" borderId="0" xfId="0" applyFont="1" applyFill="1" applyAlignment="1">
      <alignment horizontal="left" vertical="center" indent="1"/>
    </xf>
    <xf numFmtId="0" fontId="21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 wrapText="1" indent="1"/>
    </xf>
    <xf numFmtId="0" fontId="10" fillId="10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16" fillId="11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 indent="1"/>
    </xf>
    <xf numFmtId="0" fontId="21" fillId="13" borderId="0" xfId="0" applyFont="1" applyFill="1" applyAlignment="1">
      <alignment horizontal="left" vertical="center" indent="1"/>
    </xf>
    <xf numFmtId="0" fontId="21" fillId="13" borderId="0" xfId="0" applyFont="1" applyFill="1" applyAlignment="1">
      <alignment horizontal="center" vertical="center" wrapText="1"/>
    </xf>
    <xf numFmtId="166" fontId="1" fillId="14" borderId="8" xfId="0" applyNumberFormat="1" applyFont="1" applyFill="1" applyBorder="1" applyAlignment="1">
      <alignment horizontal="center" vertical="center"/>
    </xf>
    <xf numFmtId="166" fontId="1" fillId="14" borderId="5" xfId="0" applyNumberFormat="1" applyFont="1" applyFill="1" applyBorder="1" applyAlignment="1">
      <alignment horizontal="center" vertical="center"/>
    </xf>
    <xf numFmtId="166" fontId="1" fillId="14" borderId="9" xfId="0" applyNumberFormat="1" applyFont="1" applyFill="1" applyBorder="1" applyAlignment="1">
      <alignment horizontal="center" vertical="center"/>
    </xf>
    <xf numFmtId="166" fontId="1" fillId="14" borderId="2" xfId="0" applyNumberFormat="1" applyFont="1" applyFill="1" applyBorder="1" applyAlignment="1">
      <alignment horizontal="center" vertical="center"/>
    </xf>
    <xf numFmtId="166" fontId="1" fillId="14" borderId="0" xfId="0" applyNumberFormat="1" applyFont="1" applyFill="1" applyAlignment="1">
      <alignment horizontal="center" vertical="center"/>
    </xf>
    <xf numFmtId="166" fontId="1" fillId="14" borderId="16" xfId="0" applyNumberFormat="1" applyFont="1" applyFill="1" applyBorder="1" applyAlignment="1">
      <alignment horizontal="center" vertical="center"/>
    </xf>
    <xf numFmtId="166" fontId="1" fillId="14" borderId="17" xfId="0" applyNumberFormat="1" applyFont="1" applyFill="1" applyBorder="1" applyAlignment="1">
      <alignment horizontal="center" vertical="center"/>
    </xf>
    <xf numFmtId="166" fontId="1" fillId="14" borderId="3" xfId="0" applyNumberFormat="1" applyFont="1" applyFill="1" applyBorder="1" applyAlignment="1">
      <alignment horizontal="center" vertical="center"/>
    </xf>
    <xf numFmtId="166" fontId="12" fillId="9" borderId="15" xfId="0" applyNumberFormat="1" applyFont="1" applyFill="1" applyBorder="1" applyAlignment="1">
      <alignment horizontal="center" vertical="center"/>
    </xf>
    <xf numFmtId="166" fontId="12" fillId="9" borderId="0" xfId="0" applyNumberFormat="1" applyFont="1" applyFill="1" applyAlignment="1">
      <alignment horizontal="center" vertical="center"/>
    </xf>
    <xf numFmtId="166" fontId="12" fillId="9" borderId="14" xfId="0" applyNumberFormat="1" applyFont="1" applyFill="1" applyBorder="1" applyAlignment="1">
      <alignment horizontal="center" vertical="center"/>
    </xf>
    <xf numFmtId="166" fontId="12" fillId="9" borderId="3" xfId="0" applyNumberFormat="1" applyFont="1" applyFill="1" applyBorder="1" applyAlignment="1">
      <alignment horizontal="center" vertical="center"/>
    </xf>
    <xf numFmtId="166" fontId="1" fillId="9" borderId="12" xfId="0" applyNumberFormat="1" applyFont="1" applyFill="1" applyBorder="1" applyAlignment="1">
      <alignment horizontal="center" vertical="center"/>
    </xf>
    <xf numFmtId="166" fontId="1" fillId="9" borderId="10" xfId="0" applyNumberFormat="1" applyFont="1" applyFill="1" applyBorder="1" applyAlignment="1">
      <alignment horizontal="center" vertical="center"/>
    </xf>
    <xf numFmtId="166" fontId="1" fillId="9" borderId="11" xfId="0" applyNumberFormat="1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32" fillId="13" borderId="0" xfId="6" applyFont="1" applyFill="1" applyAlignment="1">
      <alignment horizontal="left" vertical="center"/>
    </xf>
    <xf numFmtId="0" fontId="33" fillId="2" borderId="0" xfId="6" applyFont="1" applyFill="1" applyAlignment="1">
      <alignment horizontal="left" vertical="center" wrapText="1"/>
    </xf>
    <xf numFmtId="0" fontId="14" fillId="6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25" fillId="9" borderId="0" xfId="5" applyFont="1" applyFill="1" applyAlignment="1">
      <alignment horizontal="left" vertical="center" indent="1"/>
    </xf>
    <xf numFmtId="0" fontId="24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4" fillId="5" borderId="0" xfId="11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28" fillId="2" borderId="0" xfId="5" applyFont="1" applyFill="1" applyAlignment="1">
      <alignment horizontal="left" vertical="center" indent="1"/>
    </xf>
    <xf numFmtId="0" fontId="1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5" fillId="13" borderId="0" xfId="5" applyFont="1" applyFill="1" applyAlignment="1">
      <alignment horizontal="left" vertical="center" indent="1"/>
    </xf>
    <xf numFmtId="0" fontId="24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</cellXfs>
  <cellStyles count="50">
    <cellStyle name="20% - Accent1" xfId="28" builtinId="30" customBuiltin="1"/>
    <cellStyle name="20% - Accent2" xfId="32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9" builtinId="31" customBuiltin="1"/>
    <cellStyle name="40% - Accent2" xfId="33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30" builtinId="32" customBuiltin="1"/>
    <cellStyle name="60% - Accent2" xfId="34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7" builtinId="29" customBuiltin="1"/>
    <cellStyle name="Accent2" xfId="31" builtinId="33" customBuiltin="1"/>
    <cellStyle name="Accent3" xfId="11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" xfId="4" builtinId="3" customBuiltin="1"/>
    <cellStyle name="Comma [0]" xfId="10" builtinId="6" customBuiltin="1"/>
    <cellStyle name="Currency" xfId="12" builtinId="4" customBuiltin="1"/>
    <cellStyle name="Currency [0]" xfId="13" builtinId="7" customBuiltin="1"/>
    <cellStyle name="Data" xfId="9" xr:uid="{229918B6-DD13-4F5A-97B9-305F7E002AA3}"/>
    <cellStyle name="Explanatory Text" xfId="25" builtinId="53" customBuiltin="1"/>
    <cellStyle name="Good" xfId="15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14" builtinId="19" customBuiltin="1"/>
    <cellStyle name="Hyperlink" xfId="1" builtinId="8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 customBuiltin="1"/>
    <cellStyle name="Note" xfId="24" builtinId="10" customBuiltin="1"/>
    <cellStyle name="Output" xfId="19" builtinId="21" customBuiltin="1"/>
    <cellStyle name="Percent" xfId="2" builtinId="5" customBuiltin="1"/>
    <cellStyle name="Title" xfId="5" builtinId="15" customBuiltin="1"/>
    <cellStyle name="Total" xfId="26" builtinId="25" customBuiltin="1"/>
    <cellStyle name="Warning Text" xfId="23" builtinId="11" customBuiltin="1"/>
    <cellStyle name="zTextoOculto" xfId="3" xr:uid="{26E66EE6-E33F-4D77-BAE4-0FB4F5BBF673}"/>
  </cellStyles>
  <dxfs count="57"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color theme="0"/>
      </font>
      <fill>
        <patternFill>
          <bgColor theme="1" tint="0.499984740745262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1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bottom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center" textRotation="0" wrapText="1" indent="2" justifyLastLine="0" shrinkToFit="0" readingOrder="0"/>
    </dxf>
    <dxf>
      <alignment horizontal="left" vertical="bottom" textRotation="0" wrapText="1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  <dxf>
      <fill>
        <patternFill>
          <bgColor theme="1" tint="0.24994659260841701"/>
        </patternFill>
      </fill>
    </dxf>
    <dxf>
      <fill>
        <patternFill patternType="solid">
          <fgColor indexed="64"/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auto="1"/>
      </font>
      <border diagonalUp="0" diagonalDown="0">
        <left/>
        <right/>
        <top/>
        <bottom/>
        <vertical/>
        <horizontal/>
      </border>
    </dxf>
  </dxfs>
  <tableStyles count="2" defaultPivotStyle="PivotStyleLight16">
    <tableStyle name="Estilo de tabela de Gantt" pivot="0" count="4" xr9:uid="{4904D139-63E4-4221-B7C9-C6C5B7A50FAF}">
      <tableStyleElement type="wholeTable" dxfId="56"/>
      <tableStyleElement type="headerRow" dxfId="55"/>
      <tableStyleElement type="firstRowStripe" dxfId="54"/>
      <tableStyleElement type="secondRowStripe" dxfId="53"/>
    </tableStyle>
    <tableStyle name="ListaDeAfazeres" pivot="0" count="9" xr9:uid="{00000000-0011-0000-FFFF-FFFF00000000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  <tableStyleElement type="secondRowStripe" dxfId="46"/>
      <tableStyleElement type="firstColumnStripe" dxfId="45"/>
      <tableStyleElement type="secondColumnStripe" dxfId="4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00"/>
      <color rgb="FF215881"/>
      <color rgb="FF42648A"/>
      <color rgb="FF969696"/>
      <color rgb="FFC0C0C0"/>
      <color rgb="FF427FC2"/>
      <color rgb="FF44678E"/>
      <color rgb="FF4A6F9C"/>
      <color rgb="FF396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39" fmlaLink="$D$7" horiz="1" max="365" page="2" val="0"/>
</file>

<file path=xl/ctrlProps/ctrlProp2.xml><?xml version="1.0" encoding="utf-8"?>
<formControlPr xmlns="http://schemas.microsoft.com/office/spreadsheetml/2009/9/main" objectType="Scroll" dx="39" fmlaLink="$C$7" horiz="1" max="365" page="2"/>
</file>

<file path=xl/ctrlProps/ctrlProp3.xml><?xml version="1.0" encoding="utf-8"?>
<formControlPr xmlns="http://schemas.microsoft.com/office/spreadsheetml/2009/9/main" objectType="Scroll" dx="39" fmlaLink="$C$7" horiz="1" max="365" page="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2524125</xdr:colOff>
      <xdr:row>1</xdr:row>
      <xdr:rowOff>15240</xdr:rowOff>
    </xdr:from>
    <xdr:to>
      <xdr:col>5</xdr:col>
      <xdr:colOff>152400</xdr:colOff>
      <xdr:row>1</xdr:row>
      <xdr:rowOff>601980</xdr:rowOff>
    </xdr:to>
    <xdr:pic>
      <xdr:nvPicPr>
        <xdr:cNvPr id="2" name="Gráfico 1" descr="Gráfico de Gantt com preenchimento sóli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772525" y="377190"/>
          <a:ext cx="504825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7</xdr:row>
          <xdr:rowOff>57150</xdr:rowOff>
        </xdr:from>
        <xdr:to>
          <xdr:col>64</xdr:col>
          <xdr:colOff>228600</xdr:colOff>
          <xdr:row>7</xdr:row>
          <xdr:rowOff>238125</xdr:rowOff>
        </xdr:to>
        <xdr:sp macro="" textlink="">
          <xdr:nvSpPr>
            <xdr:cNvPr id="13313" name="Barra de Rolagem 1" descr="Barra de rolagem para percorrer a linha do tempo do projeto Ghantt.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7</xdr:row>
          <xdr:rowOff>57150</xdr:rowOff>
        </xdr:from>
        <xdr:to>
          <xdr:col>63</xdr:col>
          <xdr:colOff>228600</xdr:colOff>
          <xdr:row>7</xdr:row>
          <xdr:rowOff>238125</xdr:rowOff>
        </xdr:to>
        <xdr:sp macro="" textlink="">
          <xdr:nvSpPr>
            <xdr:cNvPr id="16385" name="Barra de Rolagem 1" descr="Barra de rolagem para percorrer a linha do tempo do projeto Ghantt.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2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7</xdr:row>
          <xdr:rowOff>57150</xdr:rowOff>
        </xdr:from>
        <xdr:to>
          <xdr:col>63</xdr:col>
          <xdr:colOff>228600</xdr:colOff>
          <xdr:row>7</xdr:row>
          <xdr:rowOff>238125</xdr:rowOff>
        </xdr:to>
        <xdr:sp macro="" textlink="">
          <xdr:nvSpPr>
            <xdr:cNvPr id="17409" name="Barra de Rolagem 1" descr="Barra de rolagem para percorrer a linha do tempo do projeto Ghantt.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DB95CA-98FE-4198-8801-690B9B480FDF}" name="Milestones435" displayName="Milestones435" ref="B9:H51" totalsRowShown="0" headerRowDxfId="43">
  <autoFilter ref="B9:H51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E47A83D-ACD7-4EB6-9B84-5195E813945E}" name="TAG" dataDxfId="42"/>
    <tableColumn id="8" xr3:uid="{D75147D4-E518-4B66-940B-B1AABBE3464D}" name="Descrição do marco" dataDxfId="41"/>
    <tableColumn id="2" xr3:uid="{529EEF64-D037-4ACF-8CA4-0C10FE2D1FBB}" name="Categoria" dataDxfId="40"/>
    <tableColumn id="7" xr3:uid="{23FA21E5-141F-4FE6-A103-9A25CFC820EE}" name="Tipo" dataDxfId="39"/>
    <tableColumn id="3" xr3:uid="{711D01BA-2785-403A-9636-CCC7E2ADA584}" name="A quem?" dataDxfId="38"/>
    <tableColumn id="5" xr3:uid="{D6D72902-F68F-4E59-A714-AFFF520C647A}" name="Início" dataCellStyle="Data"/>
    <tableColumn id="6" xr3:uid="{93E698DE-286F-49ED-AA20-D0C843671DE8}" name="Dias"/>
  </tableColumns>
  <tableStyleInfo name="Estilo de tabela de Gantt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2988E-1813-40AE-BDE7-9F0200A703CB}" name="Milestones4352" displayName="Milestones4352" ref="B9:G36" totalsRowShown="0" headerRowDxfId="37" dataDxfId="36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19BF8F6-D0F1-41AD-871D-FE0240C45A93}" name="Descrição do marco" dataDxfId="35"/>
    <tableColumn id="2" xr3:uid="{39BD914E-FB02-4352-846C-6D59624DC0B0}" name="Categoria" dataDxfId="34"/>
    <tableColumn id="3" xr3:uid="{D274194F-BCA0-44F3-84B2-217254EE241C}" name="Atribuído a" dataDxfId="33"/>
    <tableColumn id="4" xr3:uid="{8385BC6F-56EE-4363-A106-8DB0A1E4EF5A}" name="Progresso" dataDxfId="32"/>
    <tableColumn id="5" xr3:uid="{02926609-7B93-4B6F-BE96-92EC7A949E4B}" name="Início" dataDxfId="31" dataCellStyle="Data"/>
    <tableColumn id="6" xr3:uid="{8FF9BE8E-04B7-4B39-AC27-D2E534204BC3}" name="Dias" dataDxfId="30"/>
  </tableColumns>
  <tableStyleInfo name="ListaDeAfazeres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6EA49D-634E-482B-8173-880F7B761E2C}" name="Milestones43524" displayName="Milestones43524" ref="B9:G36" totalsRowShown="0" headerRowDxfId="29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971B905-713A-4980-8BBC-DF959C2E61F9}" name="Descrição do marco" dataDxfId="28"/>
    <tableColumn id="2" xr3:uid="{4492A0B8-068F-4002-9E8D-E1F5FED367F0}" name="Categoria" dataDxfId="27"/>
    <tableColumn id="3" xr3:uid="{DF1A764E-7050-4528-B7F9-B6AB99372146}" name="Atribuído a" dataDxfId="26"/>
    <tableColumn id="4" xr3:uid="{47C54592-75B0-4C70-BBF8-0F40483670E9}" name="Progresso"/>
    <tableColumn id="5" xr3:uid="{663FB5E0-7616-4EA5-B56A-FF069E2E07D7}" name="Início" dataCellStyle="Data"/>
    <tableColumn id="6" xr3:uid="{3B766962-C06F-4E12-BE91-12AB93439874}" name="Dias"/>
  </tableColumns>
  <tableStyleInfo name="ListaDeAfazeres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3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9"/>
  <sheetViews>
    <sheetView showGridLines="0" zoomScaleNormal="100" workbookViewId="0"/>
  </sheetViews>
  <sheetFormatPr defaultColWidth="9.140625" defaultRowHeight="12.75" x14ac:dyDescent="0.2"/>
  <cols>
    <col min="1" max="1" width="4.7109375" style="8" customWidth="1"/>
    <col min="2" max="2" width="2.7109375" style="8" customWidth="1"/>
    <col min="3" max="5" width="43.140625" style="6" customWidth="1"/>
    <col min="6" max="6" width="2.7109375" style="6" customWidth="1"/>
    <col min="7" max="16384" width="9.140625" style="6"/>
  </cols>
  <sheetData>
    <row r="1" spans="1:13" s="7" customFormat="1" ht="28.5" x14ac:dyDescent="0.4">
      <c r="D1" s="89"/>
    </row>
    <row r="2" spans="1:13" ht="50.1" customHeight="1" x14ac:dyDescent="0.4">
      <c r="A2" s="7"/>
      <c r="B2" s="95"/>
      <c r="C2" s="122" t="s">
        <v>0</v>
      </c>
      <c r="D2" s="122"/>
      <c r="E2" s="122"/>
      <c r="F2" s="95"/>
      <c r="G2" s="7"/>
      <c r="H2" s="7"/>
      <c r="I2" s="7"/>
      <c r="J2" s="7"/>
      <c r="K2" s="7"/>
      <c r="L2" s="7"/>
      <c r="M2" s="7"/>
    </row>
    <row r="3" spans="1:13" ht="14.45" customHeight="1" x14ac:dyDescent="0.4">
      <c r="A3" s="7"/>
      <c r="B3" s="90"/>
      <c r="C3" s="91"/>
      <c r="D3" s="92"/>
      <c r="E3" s="90"/>
      <c r="F3" s="90"/>
      <c r="G3" s="7"/>
      <c r="H3" s="7"/>
      <c r="I3" s="7"/>
      <c r="J3" s="7"/>
      <c r="K3" s="7"/>
      <c r="L3" s="7"/>
      <c r="M3" s="7"/>
    </row>
    <row r="4" spans="1:13" s="8" customFormat="1" ht="58.5" customHeight="1" x14ac:dyDescent="0.4">
      <c r="A4" s="7"/>
      <c r="B4" s="90"/>
      <c r="C4" s="123" t="s">
        <v>1</v>
      </c>
      <c r="D4" s="123"/>
      <c r="E4" s="123"/>
      <c r="F4" s="90"/>
      <c r="G4" s="7"/>
      <c r="H4" s="7"/>
      <c r="I4" s="7"/>
      <c r="J4" s="7"/>
      <c r="K4" s="7"/>
      <c r="L4" s="7"/>
      <c r="M4" s="7"/>
    </row>
    <row r="5" spans="1:13" s="8" customFormat="1" ht="54.75" customHeight="1" x14ac:dyDescent="0.4">
      <c r="A5" s="7"/>
      <c r="B5" s="90"/>
      <c r="C5" s="123" t="s">
        <v>2</v>
      </c>
      <c r="D5" s="123"/>
      <c r="E5" s="123"/>
      <c r="F5" s="90"/>
      <c r="G5" s="7"/>
      <c r="H5" s="7"/>
      <c r="I5" s="7"/>
      <c r="J5" s="7"/>
      <c r="K5" s="7"/>
      <c r="L5" s="7"/>
      <c r="M5" s="7"/>
    </row>
    <row r="6" spans="1:13" ht="15" x14ac:dyDescent="0.25">
      <c r="A6" s="6"/>
      <c r="B6" s="93"/>
      <c r="C6" s="93"/>
      <c r="D6" s="94"/>
      <c r="E6" s="93"/>
      <c r="F6" s="93"/>
    </row>
    <row r="7" spans="1:13" ht="50.1" customHeight="1" x14ac:dyDescent="0.2">
      <c r="A7" s="6"/>
      <c r="B7" s="6"/>
    </row>
    <row r="8" spans="1:13" ht="14.45" customHeight="1" x14ac:dyDescent="0.2">
      <c r="A8" s="6"/>
      <c r="B8" s="6"/>
    </row>
    <row r="9" spans="1:13" ht="90" customHeight="1" x14ac:dyDescent="0.2">
      <c r="C9" s="8"/>
      <c r="D9" s="8"/>
      <c r="E9" s="8"/>
      <c r="F9" s="8"/>
      <c r="G9" s="8"/>
      <c r="H9" s="8"/>
    </row>
    <row r="10" spans="1:13" ht="14.45" customHeight="1" x14ac:dyDescent="0.2">
      <c r="A10" s="6"/>
      <c r="B10" s="6"/>
    </row>
    <row r="11" spans="1:13" x14ac:dyDescent="0.2">
      <c r="A11" s="6"/>
      <c r="B11" s="6"/>
      <c r="D11" s="8"/>
    </row>
    <row r="12" spans="1:13" x14ac:dyDescent="0.2">
      <c r="A12" s="6"/>
      <c r="B12" s="6"/>
      <c r="D12" s="8"/>
    </row>
    <row r="13" spans="1:13" x14ac:dyDescent="0.2">
      <c r="A13" s="6"/>
      <c r="B13" s="6"/>
      <c r="D13" s="8"/>
    </row>
    <row r="14" spans="1:13" x14ac:dyDescent="0.2">
      <c r="A14" s="6"/>
      <c r="B14" s="6"/>
      <c r="D14" s="8"/>
    </row>
    <row r="15" spans="1:13" x14ac:dyDescent="0.2">
      <c r="A15" s="6"/>
      <c r="B15" s="6"/>
      <c r="D15" s="8"/>
    </row>
    <row r="16" spans="1:13" x14ac:dyDescent="0.2">
      <c r="A16" s="6"/>
      <c r="B16" s="6"/>
      <c r="D16" s="8"/>
    </row>
    <row r="17" spans="1:4" x14ac:dyDescent="0.2">
      <c r="A17" s="6"/>
      <c r="B17" s="6"/>
      <c r="D17" s="8"/>
    </row>
    <row r="18" spans="1:4" x14ac:dyDescent="0.2">
      <c r="A18" s="6"/>
      <c r="B18" s="6"/>
      <c r="D18" s="8"/>
    </row>
    <row r="19" spans="1:4" x14ac:dyDescent="0.2">
      <c r="A19" s="6"/>
      <c r="B19" s="6"/>
      <c r="D19" s="8"/>
    </row>
  </sheetData>
  <mergeCells count="3">
    <mergeCell ref="C2:E2"/>
    <mergeCell ref="C4:E4"/>
    <mergeCell ref="C5:E5"/>
  </mergeCells>
  <pageMargins left="0.5" right="0.5" top="0.5" bottom="0.5" header="0.3" footer="0.3"/>
  <pageSetup paperSize="9" scale="99" orientation="portrait" r:id="rId1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AE25-AFCC-4679-A578-F5918B332482}">
  <sheetPr codeName="Sheet3"/>
  <dimension ref="A1:BQ53"/>
  <sheetViews>
    <sheetView showGridLines="0" tabSelected="1" showRuler="0" zoomScaleNormal="100" zoomScalePageLayoutView="70" workbookViewId="0">
      <selection activeCell="C11" sqref="C11"/>
    </sheetView>
  </sheetViews>
  <sheetFormatPr defaultColWidth="8.85546875" defaultRowHeight="30" customHeight="1" x14ac:dyDescent="0.25"/>
  <cols>
    <col min="1" max="1" width="4.7109375" style="9" customWidth="1"/>
    <col min="2" max="2" width="16.140625" customWidth="1"/>
    <col min="3" max="3" width="61.28515625" customWidth="1"/>
    <col min="4" max="4" width="13.28515625" bestFit="1" customWidth="1"/>
    <col min="5" max="5" width="15" customWidth="1"/>
    <col min="6" max="6" width="20.5703125" customWidth="1"/>
    <col min="7" max="7" width="32.85546875" style="2" customWidth="1"/>
    <col min="8" max="8" width="10.42578125" customWidth="1"/>
    <col min="9" max="9" width="2.7109375" customWidth="1"/>
    <col min="10" max="65" width="3.5703125" customWidth="1"/>
    <col min="66" max="66" width="2.7109375" customWidth="1"/>
  </cols>
  <sheetData>
    <row r="1" spans="1:69" ht="25.15" customHeight="1" x14ac:dyDescent="0.25"/>
    <row r="2" spans="1:69" ht="49.9" customHeight="1" x14ac:dyDescent="0.25">
      <c r="A2" s="10"/>
      <c r="B2" s="126" t="s">
        <v>63</v>
      </c>
      <c r="C2" s="126"/>
      <c r="D2" s="126"/>
      <c r="E2" s="126"/>
      <c r="F2" s="126"/>
      <c r="G2" s="126"/>
      <c r="H2" s="126"/>
      <c r="I2" s="126"/>
      <c r="J2" s="127"/>
      <c r="K2" s="127"/>
      <c r="L2" s="127"/>
      <c r="M2" s="127"/>
      <c r="N2" s="127"/>
      <c r="O2" s="127"/>
      <c r="P2" s="128"/>
      <c r="Q2" s="129"/>
      <c r="R2" s="129"/>
      <c r="S2" s="129"/>
      <c r="T2" s="129"/>
      <c r="U2" s="129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</row>
    <row r="3" spans="1:69" ht="19.899999999999999" customHeight="1" x14ac:dyDescent="0.25">
      <c r="A3" s="10"/>
      <c r="B3" s="35"/>
      <c r="C3" s="35"/>
      <c r="D3" s="36"/>
      <c r="E3" s="36"/>
      <c r="F3" s="37"/>
      <c r="G3" s="38"/>
      <c r="H3" s="24"/>
      <c r="I3" s="24"/>
      <c r="J3" s="39"/>
      <c r="K3" s="24"/>
      <c r="L3" s="24"/>
      <c r="M3" s="24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 spans="1:69" ht="30" customHeight="1" x14ac:dyDescent="0.25">
      <c r="A4" s="10"/>
      <c r="B4" s="47" t="s">
        <v>4</v>
      </c>
      <c r="C4" s="47"/>
      <c r="D4" s="30" t="s">
        <v>64</v>
      </c>
      <c r="E4" s="43"/>
      <c r="F4" s="44"/>
      <c r="G4" s="26"/>
      <c r="H4" s="27" t="s">
        <v>30</v>
      </c>
      <c r="I4" s="25"/>
      <c r="J4" s="130" t="s">
        <v>25</v>
      </c>
      <c r="K4" s="130"/>
      <c r="L4" s="130"/>
      <c r="M4" s="130"/>
      <c r="N4" s="28"/>
      <c r="O4" s="131" t="s">
        <v>22</v>
      </c>
      <c r="P4" s="131"/>
      <c r="Q4" s="131"/>
      <c r="R4" s="131"/>
      <c r="S4" s="28"/>
      <c r="T4" s="132" t="s">
        <v>23</v>
      </c>
      <c r="U4" s="132"/>
      <c r="V4" s="132"/>
      <c r="W4" s="132"/>
      <c r="X4" s="132"/>
      <c r="Y4" s="28"/>
      <c r="Z4" s="124" t="s">
        <v>24</v>
      </c>
      <c r="AA4" s="124"/>
      <c r="AB4" s="124"/>
      <c r="AC4" s="124"/>
      <c r="AD4" s="28"/>
      <c r="AE4" s="125" t="s">
        <v>32</v>
      </c>
      <c r="AF4" s="125"/>
      <c r="AG4" s="125"/>
      <c r="AH4" s="125"/>
      <c r="AI4" s="125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</row>
    <row r="5" spans="1:69" ht="30" customHeight="1" x14ac:dyDescent="0.25">
      <c r="A5" s="10"/>
      <c r="B5" s="48" t="s">
        <v>5</v>
      </c>
      <c r="C5" s="48"/>
      <c r="D5" s="30" t="s">
        <v>65</v>
      </c>
      <c r="E5" s="45"/>
      <c r="F5" s="45"/>
      <c r="G5" s="29"/>
      <c r="H5" s="29"/>
      <c r="I5" s="25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</row>
    <row r="6" spans="1:69" ht="30" customHeight="1" x14ac:dyDescent="0.35">
      <c r="A6" s="10"/>
      <c r="B6" s="42" t="s">
        <v>6</v>
      </c>
      <c r="C6" s="42"/>
      <c r="D6" s="30">
        <v>46177</v>
      </c>
      <c r="E6" s="30"/>
      <c r="F6" s="46"/>
      <c r="G6" s="29"/>
      <c r="H6" s="28"/>
      <c r="I6" s="25"/>
      <c r="J6" s="85" t="str">
        <f ca="1">TEXT(J7,"mmmm")</f>
        <v>junho</v>
      </c>
      <c r="K6" s="85"/>
      <c r="L6" s="85"/>
      <c r="M6" s="85"/>
      <c r="N6" s="85"/>
      <c r="O6" s="85"/>
      <c r="P6" s="85"/>
      <c r="Q6" s="85" t="str">
        <f ca="1">IF(TEXT(Q7,"mmmm")=J6,"",TEXT(Q7,"mmmm"))</f>
        <v/>
      </c>
      <c r="R6" s="85"/>
      <c r="S6" s="85"/>
      <c r="T6" s="85"/>
      <c r="U6" s="85"/>
      <c r="V6" s="85"/>
      <c r="W6" s="85"/>
      <c r="X6" s="85" t="str">
        <f ca="1">IF(OR(TEXT(X7,"mmmm")=Q6,TEXT(X7,"mmmm")=J6),"",TEXT(X7,"mmmm"))</f>
        <v/>
      </c>
      <c r="Y6" s="85"/>
      <c r="Z6" s="85"/>
      <c r="AA6" s="85"/>
      <c r="AB6" s="85"/>
      <c r="AC6" s="85"/>
      <c r="AD6" s="85"/>
      <c r="AE6" s="85" t="str">
        <f ca="1">IF(OR(TEXT(AE7,"mmmm")=X6,TEXT(AE7,"mmmm")=Q6,TEXT(AE7,"mmmm")=J6),"",TEXT(AE7,"mmmm"))</f>
        <v/>
      </c>
      <c r="AF6" s="85"/>
      <c r="AG6" s="85"/>
      <c r="AH6" s="85"/>
      <c r="AI6" s="85"/>
      <c r="AJ6" s="85"/>
      <c r="AK6" s="85"/>
      <c r="AL6" s="85" t="str">
        <f ca="1">IF(OR(TEXT(AL7,"mmmm")=AE6,TEXT(AL7,"mmmm")=X6,TEXT(AL7,"mmmm")=Q6,TEXT(AL7,"mmmm")=J6),"",TEXT(AL7,"mmmm"))</f>
        <v>julho</v>
      </c>
      <c r="AM6" s="85"/>
      <c r="AN6" s="85"/>
      <c r="AO6" s="85"/>
      <c r="AP6" s="85"/>
      <c r="AQ6" s="85"/>
      <c r="AR6" s="85"/>
      <c r="AS6" s="85" t="str">
        <f ca="1">IF(OR(TEXT(AS7,"mmmm")=AL6,TEXT(AS7,"mmmm")=AE6,TEXT(AS7,"mmmm")=X6,TEXT(AS7,"mmmm")=Q6),"",TEXT(AS7,"mmmm"))</f>
        <v/>
      </c>
      <c r="AT6" s="85"/>
      <c r="AU6" s="85"/>
      <c r="AV6" s="85"/>
      <c r="AW6" s="85"/>
      <c r="AX6" s="85"/>
      <c r="AY6" s="85"/>
      <c r="AZ6" s="85" t="str">
        <f ca="1">IF(OR(TEXT(AZ7,"mmmm")=AS6,TEXT(AZ7,"mmmm")=AL6,TEXT(AZ7,"mmmm")=AE6,TEXT(AZ7,"mmmm")=X6),"",TEXT(AZ7,"mmmm"))</f>
        <v/>
      </c>
      <c r="BA6" s="85"/>
      <c r="BB6" s="85"/>
      <c r="BC6" s="86"/>
      <c r="BD6" s="57"/>
      <c r="BE6" s="57"/>
      <c r="BF6" s="57"/>
      <c r="BG6" s="57" t="str">
        <f ca="1">IF(OR(TEXT(BG7,"mmmm")=AZ6,TEXT(BG7,"mmmm")=AS6,TEXT(BG7,"mmmm")=AL6,TEXT(BG7,"mmmm")=AE6),"",TEXT(BG7,"mmmm"))</f>
        <v/>
      </c>
      <c r="BH6" s="57"/>
      <c r="BI6" s="57"/>
      <c r="BJ6" s="57"/>
      <c r="BK6" s="57"/>
      <c r="BL6" s="57"/>
      <c r="BM6" s="57"/>
      <c r="BN6" s="28"/>
    </row>
    <row r="7" spans="1:69" ht="30" customHeight="1" x14ac:dyDescent="0.25">
      <c r="A7" s="10"/>
      <c r="B7" s="42" t="s">
        <v>7</v>
      </c>
      <c r="C7" s="42"/>
      <c r="D7" s="31">
        <v>-1</v>
      </c>
      <c r="E7" s="31"/>
      <c r="F7" s="45"/>
      <c r="G7" s="25"/>
      <c r="H7" s="25"/>
      <c r="I7" s="25"/>
      <c r="J7" s="114">
        <f ca="1">IFERROR(Início_do_projeto+Incremento_de_Rolagem,TODAY())</f>
        <v>46176</v>
      </c>
      <c r="K7" s="115">
        <f ca="1">J7+1</f>
        <v>46177</v>
      </c>
      <c r="L7" s="115">
        <f t="shared" ref="L7:AY7" ca="1" si="0">K7+1</f>
        <v>46178</v>
      </c>
      <c r="M7" s="115">
        <f t="shared" ca="1" si="0"/>
        <v>46179</v>
      </c>
      <c r="N7" s="115">
        <f t="shared" ca="1" si="0"/>
        <v>46180</v>
      </c>
      <c r="O7" s="115">
        <f t="shared" ca="1" si="0"/>
        <v>46181</v>
      </c>
      <c r="P7" s="116">
        <f t="shared" ca="1" si="0"/>
        <v>46182</v>
      </c>
      <c r="Q7" s="115">
        <f ca="1">P7+1</f>
        <v>46183</v>
      </c>
      <c r="R7" s="115">
        <f ca="1">Q7+1</f>
        <v>46184</v>
      </c>
      <c r="S7" s="115">
        <f t="shared" ca="1" si="0"/>
        <v>46185</v>
      </c>
      <c r="T7" s="115">
        <f t="shared" ca="1" si="0"/>
        <v>46186</v>
      </c>
      <c r="U7" s="115">
        <f t="shared" ca="1" si="0"/>
        <v>46187</v>
      </c>
      <c r="V7" s="115">
        <f t="shared" ca="1" si="0"/>
        <v>46188</v>
      </c>
      <c r="W7" s="116">
        <f t="shared" ca="1" si="0"/>
        <v>46189</v>
      </c>
      <c r="X7" s="115">
        <f ca="1">W7+1</f>
        <v>46190</v>
      </c>
      <c r="Y7" s="115">
        <f ca="1">X7+1</f>
        <v>46191</v>
      </c>
      <c r="Z7" s="115">
        <f t="shared" ca="1" si="0"/>
        <v>46192</v>
      </c>
      <c r="AA7" s="115">
        <f t="shared" ca="1" si="0"/>
        <v>46193</v>
      </c>
      <c r="AB7" s="115">
        <f t="shared" ca="1" si="0"/>
        <v>46194</v>
      </c>
      <c r="AC7" s="115">
        <f t="shared" ca="1" si="0"/>
        <v>46195</v>
      </c>
      <c r="AD7" s="116">
        <f t="shared" ca="1" si="0"/>
        <v>46196</v>
      </c>
      <c r="AE7" s="115">
        <f ca="1">AD7+1</f>
        <v>46197</v>
      </c>
      <c r="AF7" s="115">
        <f ca="1">AE7+1</f>
        <v>46198</v>
      </c>
      <c r="AG7" s="115">
        <f t="shared" ca="1" si="0"/>
        <v>46199</v>
      </c>
      <c r="AH7" s="115">
        <f t="shared" ca="1" si="0"/>
        <v>46200</v>
      </c>
      <c r="AI7" s="115">
        <f t="shared" ca="1" si="0"/>
        <v>46201</v>
      </c>
      <c r="AJ7" s="115">
        <f t="shared" ca="1" si="0"/>
        <v>46202</v>
      </c>
      <c r="AK7" s="116">
        <f t="shared" ca="1" si="0"/>
        <v>46203</v>
      </c>
      <c r="AL7" s="115">
        <f ca="1">AK7+1</f>
        <v>46204</v>
      </c>
      <c r="AM7" s="115">
        <f ca="1">AL7+1</f>
        <v>46205</v>
      </c>
      <c r="AN7" s="115">
        <f t="shared" ca="1" si="0"/>
        <v>46206</v>
      </c>
      <c r="AO7" s="115">
        <f t="shared" ca="1" si="0"/>
        <v>46207</v>
      </c>
      <c r="AP7" s="115">
        <f t="shared" ca="1" si="0"/>
        <v>46208</v>
      </c>
      <c r="AQ7" s="115">
        <f t="shared" ca="1" si="0"/>
        <v>46209</v>
      </c>
      <c r="AR7" s="116">
        <f t="shared" ca="1" si="0"/>
        <v>46210</v>
      </c>
      <c r="AS7" s="115">
        <f ca="1">AR7+1</f>
        <v>46211</v>
      </c>
      <c r="AT7" s="115">
        <f ca="1">AS7+1</f>
        <v>46212</v>
      </c>
      <c r="AU7" s="115">
        <f t="shared" ca="1" si="0"/>
        <v>46213</v>
      </c>
      <c r="AV7" s="115">
        <f t="shared" ca="1" si="0"/>
        <v>46214</v>
      </c>
      <c r="AW7" s="115">
        <f t="shared" ca="1" si="0"/>
        <v>46215</v>
      </c>
      <c r="AX7" s="115">
        <f t="shared" ca="1" si="0"/>
        <v>46216</v>
      </c>
      <c r="AY7" s="116">
        <f t="shared" ca="1" si="0"/>
        <v>46217</v>
      </c>
      <c r="AZ7" s="115">
        <f ca="1">AY7+1</f>
        <v>46218</v>
      </c>
      <c r="BA7" s="115">
        <f ca="1">AZ7+1</f>
        <v>46219</v>
      </c>
      <c r="BB7" s="115">
        <f t="shared" ref="BB7:BF7" ca="1" si="1">BA7+1</f>
        <v>46220</v>
      </c>
      <c r="BC7" s="115">
        <f t="shared" ca="1" si="1"/>
        <v>46221</v>
      </c>
      <c r="BD7" s="115">
        <f t="shared" ca="1" si="1"/>
        <v>46222</v>
      </c>
      <c r="BE7" s="115">
        <f t="shared" ca="1" si="1"/>
        <v>46223</v>
      </c>
      <c r="BF7" s="116">
        <f t="shared" ca="1" si="1"/>
        <v>46224</v>
      </c>
      <c r="BG7" s="115">
        <f ca="1">BF7+1</f>
        <v>46225</v>
      </c>
      <c r="BH7" s="115">
        <f ca="1">BG7+1</f>
        <v>46226</v>
      </c>
      <c r="BI7" s="115">
        <f t="shared" ref="BI7:BM7" ca="1" si="2">BH7+1</f>
        <v>46227</v>
      </c>
      <c r="BJ7" s="115">
        <f t="shared" ca="1" si="2"/>
        <v>46228</v>
      </c>
      <c r="BK7" s="115">
        <f t="shared" ca="1" si="2"/>
        <v>46229</v>
      </c>
      <c r="BL7" s="115">
        <f t="shared" ca="1" si="2"/>
        <v>46230</v>
      </c>
      <c r="BM7" s="117">
        <f t="shared" ca="1" si="2"/>
        <v>46231</v>
      </c>
      <c r="BN7" s="28"/>
    </row>
    <row r="8" spans="1:69" ht="19.899999999999999" customHeight="1" x14ac:dyDescent="0.25">
      <c r="A8" s="10"/>
      <c r="B8" s="44"/>
      <c r="C8" s="44"/>
      <c r="D8" s="44"/>
      <c r="E8" s="44"/>
      <c r="F8" s="44"/>
      <c r="G8" s="25"/>
      <c r="H8" s="25"/>
      <c r="I8" s="25"/>
      <c r="J8" s="118"/>
      <c r="K8" s="119"/>
      <c r="L8" s="119"/>
      <c r="M8" s="119"/>
      <c r="N8" s="119"/>
      <c r="O8" s="119"/>
      <c r="P8" s="119"/>
      <c r="Q8" s="118"/>
      <c r="R8" s="119"/>
      <c r="S8" s="119"/>
      <c r="T8" s="119"/>
      <c r="U8" s="119"/>
      <c r="V8" s="119"/>
      <c r="W8" s="119"/>
      <c r="X8" s="118"/>
      <c r="Y8" s="119"/>
      <c r="Z8" s="119"/>
      <c r="AA8" s="119"/>
      <c r="AB8" s="119"/>
      <c r="AC8" s="119"/>
      <c r="AD8" s="119"/>
      <c r="AE8" s="118"/>
      <c r="AF8" s="119"/>
      <c r="AG8" s="119"/>
      <c r="AH8" s="119"/>
      <c r="AI8" s="119"/>
      <c r="AJ8" s="119"/>
      <c r="AK8" s="119"/>
      <c r="AL8" s="118"/>
      <c r="AM8" s="119"/>
      <c r="AN8" s="119"/>
      <c r="AO8" s="119"/>
      <c r="AP8" s="119"/>
      <c r="AQ8" s="119"/>
      <c r="AR8" s="119"/>
      <c r="AS8" s="118"/>
      <c r="AT8" s="119"/>
      <c r="AU8" s="119"/>
      <c r="AV8" s="119"/>
      <c r="AW8" s="119"/>
      <c r="AX8" s="119"/>
      <c r="AY8" s="119"/>
      <c r="AZ8" s="118"/>
      <c r="BA8" s="119"/>
      <c r="BB8" s="119"/>
      <c r="BC8" s="119"/>
      <c r="BD8" s="119"/>
      <c r="BE8" s="119"/>
      <c r="BF8" s="119"/>
      <c r="BG8" s="118"/>
      <c r="BH8" s="119"/>
      <c r="BI8" s="119"/>
      <c r="BJ8" s="119"/>
      <c r="BK8" s="119"/>
      <c r="BL8" s="119"/>
      <c r="BM8" s="120"/>
      <c r="BN8" s="28"/>
    </row>
    <row r="9" spans="1:69" ht="40.15" customHeight="1" x14ac:dyDescent="0.25">
      <c r="A9" s="10"/>
      <c r="B9" s="102" t="s">
        <v>50</v>
      </c>
      <c r="C9" s="101" t="s">
        <v>8</v>
      </c>
      <c r="D9" s="102" t="s">
        <v>19</v>
      </c>
      <c r="E9" s="102" t="s">
        <v>51</v>
      </c>
      <c r="F9" s="102" t="s">
        <v>52</v>
      </c>
      <c r="G9" s="102" t="s">
        <v>29</v>
      </c>
      <c r="H9" s="102" t="s">
        <v>31</v>
      </c>
      <c r="I9" s="41"/>
      <c r="J9" s="33" t="str">
        <f t="shared" ref="J9:BM9" ca="1" si="3">LEFT(TEXT(J7,"ddd"),1)</f>
        <v>q</v>
      </c>
      <c r="K9" s="33" t="str">
        <f t="shared" ca="1" si="3"/>
        <v>q</v>
      </c>
      <c r="L9" s="33" t="str">
        <f t="shared" ca="1" si="3"/>
        <v>s</v>
      </c>
      <c r="M9" s="33" t="str">
        <f t="shared" ca="1" si="3"/>
        <v>s</v>
      </c>
      <c r="N9" s="33" t="str">
        <f t="shared" ca="1" si="3"/>
        <v>d</v>
      </c>
      <c r="O9" s="33" t="str">
        <f t="shared" ca="1" si="3"/>
        <v>s</v>
      </c>
      <c r="P9" s="33" t="str">
        <f t="shared" ca="1" si="3"/>
        <v>t</v>
      </c>
      <c r="Q9" s="33" t="str">
        <f t="shared" ca="1" si="3"/>
        <v>q</v>
      </c>
      <c r="R9" s="33" t="str">
        <f t="shared" ca="1" si="3"/>
        <v>q</v>
      </c>
      <c r="S9" s="33" t="str">
        <f t="shared" ca="1" si="3"/>
        <v>s</v>
      </c>
      <c r="T9" s="33" t="str">
        <f t="shared" ca="1" si="3"/>
        <v>s</v>
      </c>
      <c r="U9" s="33" t="str">
        <f t="shared" ca="1" si="3"/>
        <v>d</v>
      </c>
      <c r="V9" s="33" t="str">
        <f t="shared" ca="1" si="3"/>
        <v>s</v>
      </c>
      <c r="W9" s="33" t="str">
        <f t="shared" ca="1" si="3"/>
        <v>t</v>
      </c>
      <c r="X9" s="33" t="str">
        <f t="shared" ca="1" si="3"/>
        <v>q</v>
      </c>
      <c r="Y9" s="33" t="str">
        <f t="shared" ca="1" si="3"/>
        <v>q</v>
      </c>
      <c r="Z9" s="33" t="str">
        <f t="shared" ca="1" si="3"/>
        <v>s</v>
      </c>
      <c r="AA9" s="33" t="str">
        <f t="shared" ca="1" si="3"/>
        <v>s</v>
      </c>
      <c r="AB9" s="33" t="str">
        <f t="shared" ca="1" si="3"/>
        <v>d</v>
      </c>
      <c r="AC9" s="33" t="str">
        <f t="shared" ca="1" si="3"/>
        <v>s</v>
      </c>
      <c r="AD9" s="33" t="str">
        <f t="shared" ca="1" si="3"/>
        <v>t</v>
      </c>
      <c r="AE9" s="33" t="str">
        <f t="shared" ca="1" si="3"/>
        <v>q</v>
      </c>
      <c r="AF9" s="33" t="str">
        <f t="shared" ca="1" si="3"/>
        <v>q</v>
      </c>
      <c r="AG9" s="33" t="str">
        <f t="shared" ca="1" si="3"/>
        <v>s</v>
      </c>
      <c r="AH9" s="33" t="str">
        <f t="shared" ca="1" si="3"/>
        <v>s</v>
      </c>
      <c r="AI9" s="33" t="str">
        <f t="shared" ca="1" si="3"/>
        <v>d</v>
      </c>
      <c r="AJ9" s="33" t="str">
        <f t="shared" ca="1" si="3"/>
        <v>s</v>
      </c>
      <c r="AK9" s="33" t="str">
        <f t="shared" ca="1" si="3"/>
        <v>t</v>
      </c>
      <c r="AL9" s="33" t="str">
        <f t="shared" ca="1" si="3"/>
        <v>q</v>
      </c>
      <c r="AM9" s="33" t="str">
        <f t="shared" ca="1" si="3"/>
        <v>q</v>
      </c>
      <c r="AN9" s="33" t="str">
        <f t="shared" ca="1" si="3"/>
        <v>s</v>
      </c>
      <c r="AO9" s="33" t="str">
        <f t="shared" ca="1" si="3"/>
        <v>s</v>
      </c>
      <c r="AP9" s="33" t="str">
        <f t="shared" ca="1" si="3"/>
        <v>d</v>
      </c>
      <c r="AQ9" s="33" t="str">
        <f t="shared" ca="1" si="3"/>
        <v>s</v>
      </c>
      <c r="AR9" s="33" t="str">
        <f t="shared" ca="1" si="3"/>
        <v>t</v>
      </c>
      <c r="AS9" s="33" t="str">
        <f t="shared" ca="1" si="3"/>
        <v>q</v>
      </c>
      <c r="AT9" s="33" t="str">
        <f t="shared" ca="1" si="3"/>
        <v>q</v>
      </c>
      <c r="AU9" s="33" t="str">
        <f t="shared" ca="1" si="3"/>
        <v>s</v>
      </c>
      <c r="AV9" s="33" t="str">
        <f t="shared" ca="1" si="3"/>
        <v>s</v>
      </c>
      <c r="AW9" s="33" t="str">
        <f t="shared" ca="1" si="3"/>
        <v>d</v>
      </c>
      <c r="AX9" s="33" t="str">
        <f t="shared" ca="1" si="3"/>
        <v>s</v>
      </c>
      <c r="AY9" s="33" t="str">
        <f t="shared" ca="1" si="3"/>
        <v>t</v>
      </c>
      <c r="AZ9" s="33" t="str">
        <f t="shared" ca="1" si="3"/>
        <v>q</v>
      </c>
      <c r="BA9" s="33" t="str">
        <f t="shared" ca="1" si="3"/>
        <v>q</v>
      </c>
      <c r="BB9" s="33" t="str">
        <f t="shared" ca="1" si="3"/>
        <v>s</v>
      </c>
      <c r="BC9" s="33" t="str">
        <f t="shared" ca="1" si="3"/>
        <v>s</v>
      </c>
      <c r="BD9" s="33" t="str">
        <f t="shared" ca="1" si="3"/>
        <v>d</v>
      </c>
      <c r="BE9" s="33" t="str">
        <f t="shared" ca="1" si="3"/>
        <v>s</v>
      </c>
      <c r="BF9" s="33" t="str">
        <f t="shared" ca="1" si="3"/>
        <v>t</v>
      </c>
      <c r="BG9" s="33" t="str">
        <f t="shared" ca="1" si="3"/>
        <v>q</v>
      </c>
      <c r="BH9" s="33" t="str">
        <f t="shared" ca="1" si="3"/>
        <v>q</v>
      </c>
      <c r="BI9" s="33" t="str">
        <f t="shared" ca="1" si="3"/>
        <v>s</v>
      </c>
      <c r="BJ9" s="33" t="str">
        <f t="shared" ca="1" si="3"/>
        <v>s</v>
      </c>
      <c r="BK9" s="33" t="str">
        <f t="shared" ca="1" si="3"/>
        <v>d</v>
      </c>
      <c r="BL9" s="33" t="str">
        <f t="shared" ca="1" si="3"/>
        <v>s</v>
      </c>
      <c r="BM9" s="33" t="str">
        <f t="shared" ca="1" si="3"/>
        <v>t</v>
      </c>
      <c r="BN9" s="28"/>
    </row>
    <row r="10" spans="1:69" ht="30" hidden="1" customHeight="1" x14ac:dyDescent="0.25">
      <c r="B10" s="13"/>
      <c r="C10" s="16"/>
      <c r="D10" s="13"/>
      <c r="E10" s="13"/>
      <c r="F10" s="12"/>
      <c r="G10" s="14"/>
      <c r="H10" s="15"/>
      <c r="I10" s="28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28"/>
    </row>
    <row r="11" spans="1:69" s="1" customFormat="1" ht="40.15" customHeight="1" x14ac:dyDescent="0.25">
      <c r="A11" s="10"/>
      <c r="B11" s="19" t="s">
        <v>61</v>
      </c>
      <c r="C11" s="103" t="s">
        <v>34</v>
      </c>
      <c r="D11" s="19"/>
      <c r="E11" s="19"/>
      <c r="F11" s="19"/>
      <c r="G11" s="20">
        <f>Início_do_projeto</f>
        <v>46177</v>
      </c>
      <c r="H11" s="21"/>
      <c r="I11" s="17"/>
      <c r="J11" s="40" t="str">
        <f ca="1">IF(
    AND(
        J$7&gt;=$G11,
        J$7&lt;=WORKDAY($G11,$H11-1),
        WEEKDAY(J$7,2)&lt;=5
    ),
    _xlfn.SWITCH($D11,
        "Objetivo",2,
        "Marco",1,
        ""
    ),
    ""
)</f>
        <v/>
      </c>
      <c r="K11" s="40" t="str">
        <f t="shared" ref="K11:BM15" ca="1" si="4">IF(
    AND(
        K$7&gt;=$G11,
        K$7&lt;=WORKDAY($G11,$H11-1),
        WEEKDAY(K$7,2)&lt;=5
    ),
    _xlfn.SWITCH($D11,
        "Objetivo",2,
        "Marco",1,
        ""
    ),
    ""
)</f>
        <v/>
      </c>
      <c r="L11" s="40" t="str">
        <f t="shared" ca="1" si="4"/>
        <v/>
      </c>
      <c r="M11" s="40" t="str">
        <f t="shared" ca="1" si="4"/>
        <v/>
      </c>
      <c r="N11" s="40" t="str">
        <f t="shared" ca="1" si="4"/>
        <v/>
      </c>
      <c r="O11" s="40" t="str">
        <f t="shared" ca="1" si="4"/>
        <v/>
      </c>
      <c r="P11" s="40" t="str">
        <f t="shared" ca="1" si="4"/>
        <v/>
      </c>
      <c r="Q11" s="40" t="str">
        <f t="shared" ca="1" si="4"/>
        <v/>
      </c>
      <c r="R11" s="40" t="str">
        <f t="shared" ca="1" si="4"/>
        <v/>
      </c>
      <c r="S11" s="40" t="str">
        <f t="shared" ca="1" si="4"/>
        <v/>
      </c>
      <c r="T11" s="40" t="str">
        <f t="shared" ca="1" si="4"/>
        <v/>
      </c>
      <c r="U11" s="40" t="str">
        <f t="shared" ca="1" si="4"/>
        <v/>
      </c>
      <c r="V11" s="40" t="str">
        <f t="shared" ca="1" si="4"/>
        <v/>
      </c>
      <c r="W11" s="40" t="str">
        <f t="shared" ca="1" si="4"/>
        <v/>
      </c>
      <c r="X11" s="40" t="str">
        <f t="shared" ca="1" si="4"/>
        <v/>
      </c>
      <c r="Y11" s="40" t="str">
        <f t="shared" ca="1" si="4"/>
        <v/>
      </c>
      <c r="Z11" s="40" t="str">
        <f t="shared" ca="1" si="4"/>
        <v/>
      </c>
      <c r="AA11" s="40" t="str">
        <f t="shared" ca="1" si="4"/>
        <v/>
      </c>
      <c r="AB11" s="40" t="str">
        <f t="shared" ca="1" si="4"/>
        <v/>
      </c>
      <c r="AC11" s="40" t="str">
        <f t="shared" ca="1" si="4"/>
        <v/>
      </c>
      <c r="AD11" s="40" t="str">
        <f t="shared" ca="1" si="4"/>
        <v/>
      </c>
      <c r="AE11" s="40" t="str">
        <f t="shared" ca="1" si="4"/>
        <v/>
      </c>
      <c r="AF11" s="40" t="str">
        <f t="shared" ca="1" si="4"/>
        <v/>
      </c>
      <c r="AG11" s="40" t="str">
        <f t="shared" ca="1" si="4"/>
        <v/>
      </c>
      <c r="AH11" s="40" t="str">
        <f t="shared" ca="1" si="4"/>
        <v/>
      </c>
      <c r="AI11" s="40" t="str">
        <f t="shared" ca="1" si="4"/>
        <v/>
      </c>
      <c r="AJ11" s="40" t="str">
        <f t="shared" ca="1" si="4"/>
        <v/>
      </c>
      <c r="AK11" s="40" t="str">
        <f t="shared" ca="1" si="4"/>
        <v/>
      </c>
      <c r="AL11" s="40" t="str">
        <f t="shared" ca="1" si="4"/>
        <v/>
      </c>
      <c r="AM11" s="40" t="str">
        <f t="shared" ca="1" si="4"/>
        <v/>
      </c>
      <c r="AN11" s="40" t="str">
        <f t="shared" ca="1" si="4"/>
        <v/>
      </c>
      <c r="AO11" s="40" t="str">
        <f t="shared" ca="1" si="4"/>
        <v/>
      </c>
      <c r="AP11" s="40" t="str">
        <f t="shared" ca="1" si="4"/>
        <v/>
      </c>
      <c r="AQ11" s="40" t="str">
        <f t="shared" ca="1" si="4"/>
        <v/>
      </c>
      <c r="AR11" s="40" t="str">
        <f t="shared" ca="1" si="4"/>
        <v/>
      </c>
      <c r="AS11" s="40" t="str">
        <f t="shared" ca="1" si="4"/>
        <v/>
      </c>
      <c r="AT11" s="40" t="str">
        <f t="shared" ca="1" si="4"/>
        <v/>
      </c>
      <c r="AU11" s="40" t="str">
        <f t="shared" ca="1" si="4"/>
        <v/>
      </c>
      <c r="AV11" s="40" t="str">
        <f t="shared" ca="1" si="4"/>
        <v/>
      </c>
      <c r="AW11" s="40" t="str">
        <f t="shared" ca="1" si="4"/>
        <v/>
      </c>
      <c r="AX11" s="40" t="str">
        <f t="shared" ca="1" si="4"/>
        <v/>
      </c>
      <c r="AY11" s="40" t="str">
        <f t="shared" ca="1" si="4"/>
        <v/>
      </c>
      <c r="AZ11" s="40" t="str">
        <f t="shared" ca="1" si="4"/>
        <v/>
      </c>
      <c r="BA11" s="40" t="str">
        <f t="shared" ca="1" si="4"/>
        <v/>
      </c>
      <c r="BB11" s="40" t="str">
        <f t="shared" ca="1" si="4"/>
        <v/>
      </c>
      <c r="BC11" s="40" t="str">
        <f t="shared" ca="1" si="4"/>
        <v/>
      </c>
      <c r="BD11" s="40" t="str">
        <f t="shared" ca="1" si="4"/>
        <v/>
      </c>
      <c r="BE11" s="40" t="str">
        <f t="shared" ca="1" si="4"/>
        <v/>
      </c>
      <c r="BF11" s="40" t="str">
        <f t="shared" ca="1" si="4"/>
        <v/>
      </c>
      <c r="BG11" s="40" t="str">
        <f t="shared" ca="1" si="4"/>
        <v/>
      </c>
      <c r="BH11" s="40" t="str">
        <f t="shared" ca="1" si="4"/>
        <v/>
      </c>
      <c r="BI11" s="40" t="str">
        <f t="shared" ca="1" si="4"/>
        <v/>
      </c>
      <c r="BJ11" s="40" t="str">
        <f t="shared" ca="1" si="4"/>
        <v/>
      </c>
      <c r="BK11" s="40" t="str">
        <f t="shared" ca="1" si="4"/>
        <v/>
      </c>
      <c r="BL11" s="40" t="str">
        <f t="shared" ca="1" si="4"/>
        <v/>
      </c>
      <c r="BM11" s="40" t="str">
        <f t="shared" ca="1" si="4"/>
        <v/>
      </c>
      <c r="BN11" s="24"/>
      <c r="BQ11" s="34"/>
    </row>
    <row r="12" spans="1:69" s="1" customFormat="1" ht="40.15" customHeight="1" x14ac:dyDescent="0.25">
      <c r="A12" s="10"/>
      <c r="B12" s="19" t="s">
        <v>55</v>
      </c>
      <c r="C12" s="22" t="s">
        <v>33</v>
      </c>
      <c r="D12" s="19" t="s">
        <v>25</v>
      </c>
      <c r="E12" s="19"/>
      <c r="F12" s="121"/>
      <c r="G12" s="20">
        <f>IF(Milestones435[[#This Row],[Tipo]]="",G11,IF(Milestones435[[#This Row],[Tipo]]="Paralela",WORKDAY(VLOOKUP(F12,Milestones435[],6,FALSE),0),WORKDAY(VLOOKUP(F12,Milestones435[],6,FALSE),VLOOKUP(F12,Milestones435[],7,FALSE))))</f>
        <v>46177</v>
      </c>
      <c r="H12" s="21">
        <v>2</v>
      </c>
      <c r="I12" s="17"/>
      <c r="J12" s="40" t="str">
        <f t="shared" ref="J12:Y27" ca="1" si="5">IF(
    AND(
        J$7&gt;=$G12,
        J$7&lt;=WORKDAY($G12,$H12-1),
        WEEKDAY(J$7,2)&lt;=5
    ),
    _xlfn.SWITCH($D12,
        "Objetivo",2,
        "Marco",1,
        ""
    ),
    ""
)</f>
        <v/>
      </c>
      <c r="K12" s="40" t="str">
        <f t="shared" ca="1" si="4"/>
        <v/>
      </c>
      <c r="L12" s="40" t="str">
        <f t="shared" ca="1" si="4"/>
        <v/>
      </c>
      <c r="M12" s="40" t="str">
        <f t="shared" ca="1" si="4"/>
        <v/>
      </c>
      <c r="N12" s="40" t="str">
        <f t="shared" ca="1" si="4"/>
        <v/>
      </c>
      <c r="O12" s="40" t="str">
        <f t="shared" ca="1" si="4"/>
        <v/>
      </c>
      <c r="P12" s="40" t="str">
        <f t="shared" ca="1" si="4"/>
        <v/>
      </c>
      <c r="Q12" s="40" t="str">
        <f t="shared" ca="1" si="4"/>
        <v/>
      </c>
      <c r="R12" s="40" t="str">
        <f t="shared" ca="1" si="4"/>
        <v/>
      </c>
      <c r="S12" s="40" t="str">
        <f t="shared" ca="1" si="4"/>
        <v/>
      </c>
      <c r="T12" s="40" t="str">
        <f t="shared" ca="1" si="4"/>
        <v/>
      </c>
      <c r="U12" s="40" t="str">
        <f t="shared" ca="1" si="4"/>
        <v/>
      </c>
      <c r="V12" s="40" t="str">
        <f t="shared" ca="1" si="4"/>
        <v/>
      </c>
      <c r="W12" s="40" t="str">
        <f t="shared" ca="1" si="4"/>
        <v/>
      </c>
      <c r="X12" s="40" t="str">
        <f t="shared" ca="1" si="4"/>
        <v/>
      </c>
      <c r="Y12" s="40" t="str">
        <f t="shared" ca="1" si="4"/>
        <v/>
      </c>
      <c r="Z12" s="40" t="str">
        <f t="shared" ca="1" si="4"/>
        <v/>
      </c>
      <c r="AA12" s="40" t="str">
        <f t="shared" ca="1" si="4"/>
        <v/>
      </c>
      <c r="AB12" s="40" t="str">
        <f t="shared" ca="1" si="4"/>
        <v/>
      </c>
      <c r="AC12" s="40" t="str">
        <f t="shared" ca="1" si="4"/>
        <v/>
      </c>
      <c r="AD12" s="40" t="str">
        <f t="shared" ca="1" si="4"/>
        <v/>
      </c>
      <c r="AE12" s="40" t="str">
        <f t="shared" ca="1" si="4"/>
        <v/>
      </c>
      <c r="AF12" s="40" t="str">
        <f t="shared" ca="1" si="4"/>
        <v/>
      </c>
      <c r="AG12" s="40" t="str">
        <f t="shared" ca="1" si="4"/>
        <v/>
      </c>
      <c r="AH12" s="40" t="str">
        <f t="shared" ca="1" si="4"/>
        <v/>
      </c>
      <c r="AI12" s="40" t="str">
        <f t="shared" ca="1" si="4"/>
        <v/>
      </c>
      <c r="AJ12" s="40" t="str">
        <f t="shared" ca="1" si="4"/>
        <v/>
      </c>
      <c r="AK12" s="40" t="str">
        <f t="shared" ca="1" si="4"/>
        <v/>
      </c>
      <c r="AL12" s="40" t="str">
        <f t="shared" ca="1" si="4"/>
        <v/>
      </c>
      <c r="AM12" s="40" t="str">
        <f t="shared" ca="1" si="4"/>
        <v/>
      </c>
      <c r="AN12" s="40" t="str">
        <f t="shared" ca="1" si="4"/>
        <v/>
      </c>
      <c r="AO12" s="40" t="str">
        <f t="shared" ca="1" si="4"/>
        <v/>
      </c>
      <c r="AP12" s="40" t="str">
        <f t="shared" ca="1" si="4"/>
        <v/>
      </c>
      <c r="AQ12" s="40" t="str">
        <f t="shared" ca="1" si="4"/>
        <v/>
      </c>
      <c r="AR12" s="40" t="str">
        <f t="shared" ca="1" si="4"/>
        <v/>
      </c>
      <c r="AS12" s="40" t="str">
        <f t="shared" ca="1" si="4"/>
        <v/>
      </c>
      <c r="AT12" s="40" t="str">
        <f t="shared" ca="1" si="4"/>
        <v/>
      </c>
      <c r="AU12" s="40" t="str">
        <f t="shared" ca="1" si="4"/>
        <v/>
      </c>
      <c r="AV12" s="40" t="str">
        <f t="shared" ca="1" si="4"/>
        <v/>
      </c>
      <c r="AW12" s="40" t="str">
        <f t="shared" ca="1" si="4"/>
        <v/>
      </c>
      <c r="AX12" s="40" t="str">
        <f t="shared" ca="1" si="4"/>
        <v/>
      </c>
      <c r="AY12" s="40" t="str">
        <f t="shared" ca="1" si="4"/>
        <v/>
      </c>
      <c r="AZ12" s="40" t="str">
        <f t="shared" ca="1" si="4"/>
        <v/>
      </c>
      <c r="BA12" s="40" t="str">
        <f t="shared" ca="1" si="4"/>
        <v/>
      </c>
      <c r="BB12" s="40" t="str">
        <f t="shared" ca="1" si="4"/>
        <v/>
      </c>
      <c r="BC12" s="40" t="str">
        <f t="shared" ca="1" si="4"/>
        <v/>
      </c>
      <c r="BD12" s="40" t="str">
        <f t="shared" ca="1" si="4"/>
        <v/>
      </c>
      <c r="BE12" s="40" t="str">
        <f t="shared" ca="1" si="4"/>
        <v/>
      </c>
      <c r="BF12" s="40" t="str">
        <f t="shared" ca="1" si="4"/>
        <v/>
      </c>
      <c r="BG12" s="40" t="str">
        <f t="shared" ca="1" si="4"/>
        <v/>
      </c>
      <c r="BH12" s="40" t="str">
        <f t="shared" ca="1" si="4"/>
        <v/>
      </c>
      <c r="BI12" s="40" t="str">
        <f t="shared" ca="1" si="4"/>
        <v/>
      </c>
      <c r="BJ12" s="40" t="str">
        <f t="shared" ca="1" si="4"/>
        <v/>
      </c>
      <c r="BK12" s="40" t="str">
        <f t="shared" ca="1" si="4"/>
        <v/>
      </c>
      <c r="BL12" s="40" t="str">
        <f t="shared" ca="1" si="4"/>
        <v/>
      </c>
      <c r="BM12" s="40" t="str">
        <f t="shared" ca="1" si="4"/>
        <v/>
      </c>
      <c r="BN12" s="24"/>
    </row>
    <row r="13" spans="1:69" s="1" customFormat="1" ht="40.15" customHeight="1" x14ac:dyDescent="0.25">
      <c r="A13" s="10"/>
      <c r="B13" s="19" t="s">
        <v>56</v>
      </c>
      <c r="C13" s="22" t="s">
        <v>35</v>
      </c>
      <c r="D13" s="19" t="s">
        <v>25</v>
      </c>
      <c r="E13" s="19" t="s">
        <v>53</v>
      </c>
      <c r="F13" s="19" t="s">
        <v>55</v>
      </c>
      <c r="G13" s="20">
        <f>IF(Milestones435[[#This Row],[Tipo]]="",G12,IF(Milestones435[[#This Row],[Tipo]]="Paralela",WORKDAY(VLOOKUP(F13,Milestones435[],6,FALSE),0),WORKDAY(VLOOKUP(F13,Milestones435[],6,FALSE),VLOOKUP(F13,Milestones435[],7,FALSE))))</f>
        <v>46181</v>
      </c>
      <c r="H13" s="21">
        <v>1</v>
      </c>
      <c r="I13" s="17"/>
      <c r="J13" s="40" t="str">
        <f t="shared" ca="1" si="5"/>
        <v/>
      </c>
      <c r="K13" s="40" t="str">
        <f t="shared" ca="1" si="4"/>
        <v/>
      </c>
      <c r="L13" s="40" t="str">
        <f t="shared" ca="1" si="4"/>
        <v/>
      </c>
      <c r="M13" s="40" t="str">
        <f t="shared" ca="1" si="4"/>
        <v/>
      </c>
      <c r="N13" s="40" t="str">
        <f t="shared" ca="1" si="4"/>
        <v/>
      </c>
      <c r="O13" s="40" t="str">
        <f t="shared" ca="1" si="4"/>
        <v/>
      </c>
      <c r="P13" s="40" t="str">
        <f t="shared" ca="1" si="4"/>
        <v/>
      </c>
      <c r="Q13" s="40" t="str">
        <f t="shared" ca="1" si="4"/>
        <v/>
      </c>
      <c r="R13" s="40" t="str">
        <f t="shared" ca="1" si="4"/>
        <v/>
      </c>
      <c r="S13" s="40" t="str">
        <f t="shared" ca="1" si="4"/>
        <v/>
      </c>
      <c r="T13" s="40" t="str">
        <f t="shared" ca="1" si="4"/>
        <v/>
      </c>
      <c r="U13" s="40" t="str">
        <f t="shared" ca="1" si="4"/>
        <v/>
      </c>
      <c r="V13" s="40" t="str">
        <f t="shared" ca="1" si="4"/>
        <v/>
      </c>
      <c r="W13" s="40" t="str">
        <f t="shared" ca="1" si="4"/>
        <v/>
      </c>
      <c r="X13" s="40" t="str">
        <f t="shared" ca="1" si="4"/>
        <v/>
      </c>
      <c r="Y13" s="40" t="str">
        <f t="shared" ca="1" si="4"/>
        <v/>
      </c>
      <c r="Z13" s="40" t="str">
        <f t="shared" ca="1" si="4"/>
        <v/>
      </c>
      <c r="AA13" s="40" t="str">
        <f t="shared" ca="1" si="4"/>
        <v/>
      </c>
      <c r="AB13" s="40" t="str">
        <f t="shared" ca="1" si="4"/>
        <v/>
      </c>
      <c r="AC13" s="40" t="str">
        <f t="shared" ca="1" si="4"/>
        <v/>
      </c>
      <c r="AD13" s="40" t="str">
        <f t="shared" ca="1" si="4"/>
        <v/>
      </c>
      <c r="AE13" s="40" t="str">
        <f t="shared" ca="1" si="4"/>
        <v/>
      </c>
      <c r="AF13" s="40" t="str">
        <f t="shared" ca="1" si="4"/>
        <v/>
      </c>
      <c r="AG13" s="40" t="str">
        <f t="shared" ca="1" si="4"/>
        <v/>
      </c>
      <c r="AH13" s="40" t="str">
        <f t="shared" ca="1" si="4"/>
        <v/>
      </c>
      <c r="AI13" s="40" t="str">
        <f t="shared" ca="1" si="4"/>
        <v/>
      </c>
      <c r="AJ13" s="40" t="str">
        <f t="shared" ca="1" si="4"/>
        <v/>
      </c>
      <c r="AK13" s="40" t="str">
        <f t="shared" ca="1" si="4"/>
        <v/>
      </c>
      <c r="AL13" s="40" t="str">
        <f t="shared" ca="1" si="4"/>
        <v/>
      </c>
      <c r="AM13" s="40" t="str">
        <f t="shared" ca="1" si="4"/>
        <v/>
      </c>
      <c r="AN13" s="40" t="str">
        <f t="shared" ca="1" si="4"/>
        <v/>
      </c>
      <c r="AO13" s="40" t="str">
        <f t="shared" ca="1" si="4"/>
        <v/>
      </c>
      <c r="AP13" s="40" t="str">
        <f t="shared" ca="1" si="4"/>
        <v/>
      </c>
      <c r="AQ13" s="40" t="str">
        <f t="shared" ca="1" si="4"/>
        <v/>
      </c>
      <c r="AR13" s="40" t="str">
        <f t="shared" ca="1" si="4"/>
        <v/>
      </c>
      <c r="AS13" s="40" t="str">
        <f t="shared" ca="1" si="4"/>
        <v/>
      </c>
      <c r="AT13" s="40" t="str">
        <f t="shared" ca="1" si="4"/>
        <v/>
      </c>
      <c r="AU13" s="40" t="str">
        <f t="shared" ca="1" si="4"/>
        <v/>
      </c>
      <c r="AV13" s="40" t="str">
        <f t="shared" ca="1" si="4"/>
        <v/>
      </c>
      <c r="AW13" s="40" t="str">
        <f t="shared" ca="1" si="4"/>
        <v/>
      </c>
      <c r="AX13" s="40" t="str">
        <f t="shared" ca="1" si="4"/>
        <v/>
      </c>
      <c r="AY13" s="40" t="str">
        <f t="shared" ca="1" si="4"/>
        <v/>
      </c>
      <c r="AZ13" s="40" t="str">
        <f t="shared" ca="1" si="4"/>
        <v/>
      </c>
      <c r="BA13" s="40" t="str">
        <f t="shared" ca="1" si="4"/>
        <v/>
      </c>
      <c r="BB13" s="40" t="str">
        <f t="shared" ca="1" si="4"/>
        <v/>
      </c>
      <c r="BC13" s="40" t="str">
        <f t="shared" ca="1" si="4"/>
        <v/>
      </c>
      <c r="BD13" s="40" t="str">
        <f t="shared" ca="1" si="4"/>
        <v/>
      </c>
      <c r="BE13" s="40" t="str">
        <f t="shared" ca="1" si="4"/>
        <v/>
      </c>
      <c r="BF13" s="40" t="str">
        <f t="shared" ca="1" si="4"/>
        <v/>
      </c>
      <c r="BG13" s="40" t="str">
        <f t="shared" ca="1" si="4"/>
        <v/>
      </c>
      <c r="BH13" s="40" t="str">
        <f t="shared" ca="1" si="4"/>
        <v/>
      </c>
      <c r="BI13" s="40" t="str">
        <f t="shared" ca="1" si="4"/>
        <v/>
      </c>
      <c r="BJ13" s="40" t="str">
        <f t="shared" ca="1" si="4"/>
        <v/>
      </c>
      <c r="BK13" s="40" t="str">
        <f t="shared" ca="1" si="4"/>
        <v/>
      </c>
      <c r="BL13" s="40" t="str">
        <f t="shared" ca="1" si="4"/>
        <v/>
      </c>
      <c r="BM13" s="40" t="str">
        <f t="shared" ca="1" si="4"/>
        <v/>
      </c>
      <c r="BN13" s="24"/>
    </row>
    <row r="14" spans="1:69" s="1" customFormat="1" ht="40.15" customHeight="1" x14ac:dyDescent="0.25">
      <c r="A14" s="9"/>
      <c r="B14" s="19" t="s">
        <v>57</v>
      </c>
      <c r="C14" s="22" t="s">
        <v>36</v>
      </c>
      <c r="D14" s="19" t="s">
        <v>25</v>
      </c>
      <c r="E14" s="19" t="s">
        <v>54</v>
      </c>
      <c r="F14" s="19" t="s">
        <v>56</v>
      </c>
      <c r="G14" s="20">
        <f>IF(Milestones435[[#This Row],[Tipo]]="",G13,IF(Milestones435[[#This Row],[Tipo]]="Paralela",WORKDAY(VLOOKUP(F14,Milestones435[],6,FALSE),0),WORKDAY(VLOOKUP(F14,Milestones435[],6,FALSE),VLOOKUP(F14,Milestones435[],7,FALSE))))</f>
        <v>46181</v>
      </c>
      <c r="H14" s="21">
        <v>1</v>
      </c>
      <c r="I14" s="17"/>
      <c r="J14" s="40" t="str">
        <f t="shared" ca="1" si="5"/>
        <v/>
      </c>
      <c r="K14" s="40" t="str">
        <f t="shared" ca="1" si="4"/>
        <v/>
      </c>
      <c r="L14" s="40" t="str">
        <f t="shared" ca="1" si="4"/>
        <v/>
      </c>
      <c r="M14" s="40" t="str">
        <f t="shared" ca="1" si="4"/>
        <v/>
      </c>
      <c r="N14" s="40" t="str">
        <f t="shared" ca="1" si="4"/>
        <v/>
      </c>
      <c r="O14" s="40" t="str">
        <f t="shared" ca="1" si="4"/>
        <v/>
      </c>
      <c r="P14" s="40" t="str">
        <f t="shared" ca="1" si="4"/>
        <v/>
      </c>
      <c r="Q14" s="40" t="str">
        <f t="shared" ca="1" si="4"/>
        <v/>
      </c>
      <c r="R14" s="40" t="str">
        <f t="shared" ca="1" si="4"/>
        <v/>
      </c>
      <c r="S14" s="40" t="str">
        <f t="shared" ca="1" si="4"/>
        <v/>
      </c>
      <c r="T14" s="40" t="str">
        <f t="shared" ca="1" si="4"/>
        <v/>
      </c>
      <c r="U14" s="40" t="str">
        <f t="shared" ca="1" si="4"/>
        <v/>
      </c>
      <c r="V14" s="40" t="str">
        <f t="shared" ca="1" si="4"/>
        <v/>
      </c>
      <c r="W14" s="40" t="str">
        <f t="shared" ca="1" si="4"/>
        <v/>
      </c>
      <c r="X14" s="40" t="str">
        <f t="shared" ca="1" si="4"/>
        <v/>
      </c>
      <c r="Y14" s="40" t="str">
        <f t="shared" ca="1" si="4"/>
        <v/>
      </c>
      <c r="Z14" s="40" t="str">
        <f t="shared" ca="1" si="4"/>
        <v/>
      </c>
      <c r="AA14" s="40" t="str">
        <f t="shared" ca="1" si="4"/>
        <v/>
      </c>
      <c r="AB14" s="40" t="str">
        <f t="shared" ca="1" si="4"/>
        <v/>
      </c>
      <c r="AC14" s="40" t="str">
        <f t="shared" ca="1" si="4"/>
        <v/>
      </c>
      <c r="AD14" s="40" t="str">
        <f t="shared" ca="1" si="4"/>
        <v/>
      </c>
      <c r="AE14" s="40" t="str">
        <f t="shared" ca="1" si="4"/>
        <v/>
      </c>
      <c r="AF14" s="40" t="str">
        <f t="shared" ca="1" si="4"/>
        <v/>
      </c>
      <c r="AG14" s="40" t="str">
        <f t="shared" ca="1" si="4"/>
        <v/>
      </c>
      <c r="AH14" s="40" t="str">
        <f t="shared" ca="1" si="4"/>
        <v/>
      </c>
      <c r="AI14" s="40" t="str">
        <f t="shared" ca="1" si="4"/>
        <v/>
      </c>
      <c r="AJ14" s="40" t="str">
        <f t="shared" ca="1" si="4"/>
        <v/>
      </c>
      <c r="AK14" s="40" t="str">
        <f t="shared" ca="1" si="4"/>
        <v/>
      </c>
      <c r="AL14" s="40" t="str">
        <f t="shared" ca="1" si="4"/>
        <v/>
      </c>
      <c r="AM14" s="40" t="str">
        <f t="shared" ca="1" si="4"/>
        <v/>
      </c>
      <c r="AN14" s="40" t="str">
        <f t="shared" ca="1" si="4"/>
        <v/>
      </c>
      <c r="AO14" s="40" t="str">
        <f t="shared" ca="1" si="4"/>
        <v/>
      </c>
      <c r="AP14" s="40" t="str">
        <f t="shared" ca="1" si="4"/>
        <v/>
      </c>
      <c r="AQ14" s="40" t="str">
        <f t="shared" ca="1" si="4"/>
        <v/>
      </c>
      <c r="AR14" s="40" t="str">
        <f t="shared" ca="1" si="4"/>
        <v/>
      </c>
      <c r="AS14" s="40" t="str">
        <f t="shared" ca="1" si="4"/>
        <v/>
      </c>
      <c r="AT14" s="40" t="str">
        <f t="shared" ca="1" si="4"/>
        <v/>
      </c>
      <c r="AU14" s="40" t="str">
        <f t="shared" ca="1" si="4"/>
        <v/>
      </c>
      <c r="AV14" s="40" t="str">
        <f t="shared" ca="1" si="4"/>
        <v/>
      </c>
      <c r="AW14" s="40" t="str">
        <f t="shared" ca="1" si="4"/>
        <v/>
      </c>
      <c r="AX14" s="40" t="str">
        <f t="shared" ca="1" si="4"/>
        <v/>
      </c>
      <c r="AY14" s="40" t="str">
        <f t="shared" ca="1" si="4"/>
        <v/>
      </c>
      <c r="AZ14" s="40" t="str">
        <f t="shared" ca="1" si="4"/>
        <v/>
      </c>
      <c r="BA14" s="40" t="str">
        <f t="shared" ca="1" si="4"/>
        <v/>
      </c>
      <c r="BB14" s="40" t="str">
        <f t="shared" ca="1" si="4"/>
        <v/>
      </c>
      <c r="BC14" s="40" t="str">
        <f t="shared" ca="1" si="4"/>
        <v/>
      </c>
      <c r="BD14" s="40" t="str">
        <f t="shared" ca="1" si="4"/>
        <v/>
      </c>
      <c r="BE14" s="40" t="str">
        <f t="shared" ca="1" si="4"/>
        <v/>
      </c>
      <c r="BF14" s="40" t="str">
        <f t="shared" ca="1" si="4"/>
        <v/>
      </c>
      <c r="BG14" s="40" t="str">
        <f t="shared" ca="1" si="4"/>
        <v/>
      </c>
      <c r="BH14" s="40" t="str">
        <f t="shared" ca="1" si="4"/>
        <v/>
      </c>
      <c r="BI14" s="40" t="str">
        <f t="shared" ca="1" si="4"/>
        <v/>
      </c>
      <c r="BJ14" s="40" t="str">
        <f t="shared" ca="1" si="4"/>
        <v/>
      </c>
      <c r="BK14" s="40" t="str">
        <f t="shared" ca="1" si="4"/>
        <v/>
      </c>
      <c r="BL14" s="40" t="str">
        <f t="shared" ca="1" si="4"/>
        <v/>
      </c>
      <c r="BM14" s="40" t="str">
        <f t="shared" ca="1" si="4"/>
        <v/>
      </c>
      <c r="BN14" s="24"/>
    </row>
    <row r="15" spans="1:69" s="1" customFormat="1" ht="40.15" customHeight="1" x14ac:dyDescent="0.25">
      <c r="A15" s="9"/>
      <c r="B15" s="19" t="s">
        <v>58</v>
      </c>
      <c r="C15" s="22" t="s">
        <v>37</v>
      </c>
      <c r="D15" s="19" t="s">
        <v>25</v>
      </c>
      <c r="E15" s="19" t="s">
        <v>53</v>
      </c>
      <c r="F15" s="19" t="s">
        <v>57</v>
      </c>
      <c r="G15" s="20">
        <f>IF(Milestones435[[#This Row],[Tipo]]="",G14,IF(Milestones435[[#This Row],[Tipo]]="Paralela",WORKDAY(VLOOKUP(F15,Milestones435[],6,FALSE),0),WORKDAY(VLOOKUP(F15,Milestones435[],6,FALSE),VLOOKUP(F15,Milestones435[],7,FALSE))))</f>
        <v>46182</v>
      </c>
      <c r="H15" s="21">
        <v>2</v>
      </c>
      <c r="I15" s="17"/>
      <c r="J15" s="40" t="str">
        <f t="shared" ca="1" si="5"/>
        <v/>
      </c>
      <c r="K15" s="40" t="str">
        <f t="shared" ca="1" si="4"/>
        <v/>
      </c>
      <c r="L15" s="40" t="str">
        <f t="shared" ca="1" si="4"/>
        <v/>
      </c>
      <c r="M15" s="40" t="str">
        <f t="shared" ca="1" si="4"/>
        <v/>
      </c>
      <c r="N15" s="40" t="str">
        <f t="shared" ca="1" si="4"/>
        <v/>
      </c>
      <c r="O15" s="40" t="str">
        <f t="shared" ca="1" si="4"/>
        <v/>
      </c>
      <c r="P15" s="40" t="str">
        <f t="shared" ca="1" si="4"/>
        <v/>
      </c>
      <c r="Q15" s="40" t="str">
        <f t="shared" ca="1" si="4"/>
        <v/>
      </c>
      <c r="R15" s="40" t="str">
        <f t="shared" ca="1" si="4"/>
        <v/>
      </c>
      <c r="S15" s="40" t="str">
        <f t="shared" ca="1" si="4"/>
        <v/>
      </c>
      <c r="T15" s="40" t="str">
        <f t="shared" ca="1" si="4"/>
        <v/>
      </c>
      <c r="U15" s="40" t="str">
        <f t="shared" ca="1" si="4"/>
        <v/>
      </c>
      <c r="V15" s="40" t="str">
        <f t="shared" ca="1" si="4"/>
        <v/>
      </c>
      <c r="W15" s="40" t="str">
        <f t="shared" ca="1" si="4"/>
        <v/>
      </c>
      <c r="X15" s="40" t="str">
        <f t="shared" ca="1" si="4"/>
        <v/>
      </c>
      <c r="Y15" s="40" t="str">
        <f t="shared" ca="1" si="4"/>
        <v/>
      </c>
      <c r="Z15" s="40" t="str">
        <f t="shared" ca="1" si="4"/>
        <v/>
      </c>
      <c r="AA15" s="40" t="str">
        <f t="shared" ca="1" si="4"/>
        <v/>
      </c>
      <c r="AB15" s="40" t="str">
        <f t="shared" ca="1" si="4"/>
        <v/>
      </c>
      <c r="AC15" s="40" t="str">
        <f t="shared" ca="1" si="4"/>
        <v/>
      </c>
      <c r="AD15" s="40" t="str">
        <f t="shared" ca="1" si="4"/>
        <v/>
      </c>
      <c r="AE15" s="40" t="str">
        <f t="shared" ca="1" si="4"/>
        <v/>
      </c>
      <c r="AF15" s="40" t="str">
        <f t="shared" ca="1" si="4"/>
        <v/>
      </c>
      <c r="AG15" s="40" t="str">
        <f t="shared" ca="1" si="4"/>
        <v/>
      </c>
      <c r="AH15" s="40" t="str">
        <f t="shared" ca="1" si="4"/>
        <v/>
      </c>
      <c r="AI15" s="40" t="str">
        <f t="shared" ca="1" si="4"/>
        <v/>
      </c>
      <c r="AJ15" s="40" t="str">
        <f t="shared" ca="1" si="4"/>
        <v/>
      </c>
      <c r="AK15" s="40" t="str">
        <f t="shared" ca="1" si="4"/>
        <v/>
      </c>
      <c r="AL15" s="40" t="str">
        <f t="shared" ca="1" si="4"/>
        <v/>
      </c>
      <c r="AM15" s="40" t="str">
        <f t="shared" ca="1" si="4"/>
        <v/>
      </c>
      <c r="AN15" s="40" t="str">
        <f t="shared" ca="1" si="4"/>
        <v/>
      </c>
      <c r="AO15" s="40" t="str">
        <f t="shared" ca="1" si="4"/>
        <v/>
      </c>
      <c r="AP15" s="40" t="str">
        <f t="shared" ca="1" si="4"/>
        <v/>
      </c>
      <c r="AQ15" s="40" t="str">
        <f t="shared" ca="1" si="4"/>
        <v/>
      </c>
      <c r="AR15" s="40" t="str">
        <f t="shared" ca="1" si="4"/>
        <v/>
      </c>
      <c r="AS15" s="40" t="str">
        <f t="shared" ca="1" si="4"/>
        <v/>
      </c>
      <c r="AT15" s="40" t="str">
        <f t="shared" ref="AT15:BI30" ca="1" si="6">IF(
    AND(
        AT$7&gt;=$G15,
        AT$7&lt;=WORKDAY($G15,$H15-1),
        WEEKDAY(AT$7,2)&lt;=5
    ),
    _xlfn.SWITCH($D15,
        "Objetivo",2,
        "Marco",1,
        ""
    ),
    ""
)</f>
        <v/>
      </c>
      <c r="AU15" s="40" t="str">
        <f t="shared" ca="1" si="6"/>
        <v/>
      </c>
      <c r="AV15" s="40" t="str">
        <f t="shared" ca="1" si="6"/>
        <v/>
      </c>
      <c r="AW15" s="40" t="str">
        <f t="shared" ca="1" si="6"/>
        <v/>
      </c>
      <c r="AX15" s="40" t="str">
        <f t="shared" ca="1" si="6"/>
        <v/>
      </c>
      <c r="AY15" s="40" t="str">
        <f t="shared" ca="1" si="6"/>
        <v/>
      </c>
      <c r="AZ15" s="40" t="str">
        <f t="shared" ca="1" si="6"/>
        <v/>
      </c>
      <c r="BA15" s="40" t="str">
        <f t="shared" ca="1" si="6"/>
        <v/>
      </c>
      <c r="BB15" s="40" t="str">
        <f t="shared" ca="1" si="6"/>
        <v/>
      </c>
      <c r="BC15" s="40" t="str">
        <f t="shared" ca="1" si="6"/>
        <v/>
      </c>
      <c r="BD15" s="40" t="str">
        <f t="shared" ca="1" si="6"/>
        <v/>
      </c>
      <c r="BE15" s="40" t="str">
        <f t="shared" ca="1" si="6"/>
        <v/>
      </c>
      <c r="BF15" s="40" t="str">
        <f t="shared" ca="1" si="6"/>
        <v/>
      </c>
      <c r="BG15" s="40" t="str">
        <f t="shared" ca="1" si="6"/>
        <v/>
      </c>
      <c r="BH15" s="40" t="str">
        <f t="shared" ca="1" si="6"/>
        <v/>
      </c>
      <c r="BI15" s="40" t="str">
        <f t="shared" ca="1" si="6"/>
        <v/>
      </c>
      <c r="BJ15" s="40" t="str">
        <f t="shared" ref="BJ15:BM30" ca="1" si="7">IF(
    AND(
        BJ$7&gt;=$G15,
        BJ$7&lt;=WORKDAY($G15,$H15-1),
        WEEKDAY(BJ$7,2)&lt;=5
    ),
    _xlfn.SWITCH($D15,
        "Objetivo",2,
        "Marco",1,
        ""
    ),
    ""
)</f>
        <v/>
      </c>
      <c r="BK15" s="40" t="str">
        <f t="shared" ca="1" si="7"/>
        <v/>
      </c>
      <c r="BL15" s="40" t="str">
        <f t="shared" ca="1" si="7"/>
        <v/>
      </c>
      <c r="BM15" s="40" t="str">
        <f t="shared" ca="1" si="7"/>
        <v/>
      </c>
      <c r="BN15" s="24"/>
    </row>
    <row r="16" spans="1:69" s="1" customFormat="1" ht="40.15" customHeight="1" x14ac:dyDescent="0.25">
      <c r="A16" s="9"/>
      <c r="B16" s="19" t="s">
        <v>59</v>
      </c>
      <c r="C16" s="22" t="s">
        <v>38</v>
      </c>
      <c r="D16" s="19" t="s">
        <v>25</v>
      </c>
      <c r="E16" s="19" t="s">
        <v>54</v>
      </c>
      <c r="F16" s="19" t="s">
        <v>58</v>
      </c>
      <c r="G16" s="20">
        <f>IF(Milestones435[[#This Row],[Tipo]]="",G15,IF(Milestones435[[#This Row],[Tipo]]="Paralela",WORKDAY(VLOOKUP(F16,Milestones435[],6,FALSE),0),WORKDAY(VLOOKUP(F16,Milestones435[],6,FALSE),VLOOKUP(F16,Milestones435[],7,FALSE))))</f>
        <v>46182</v>
      </c>
      <c r="H16" s="21">
        <v>2</v>
      </c>
      <c r="I16" s="17"/>
      <c r="J16" s="40" t="str">
        <f t="shared" ca="1" si="5"/>
        <v/>
      </c>
      <c r="K16" s="40" t="str">
        <f t="shared" ca="1" si="5"/>
        <v/>
      </c>
      <c r="L16" s="40" t="str">
        <f t="shared" ca="1" si="5"/>
        <v/>
      </c>
      <c r="M16" s="40" t="str">
        <f t="shared" ca="1" si="5"/>
        <v/>
      </c>
      <c r="N16" s="40" t="str">
        <f t="shared" ca="1" si="5"/>
        <v/>
      </c>
      <c r="O16" s="40" t="str">
        <f t="shared" ca="1" si="5"/>
        <v/>
      </c>
      <c r="P16" s="40" t="str">
        <f t="shared" ca="1" si="5"/>
        <v/>
      </c>
      <c r="Q16" s="40" t="str">
        <f t="shared" ca="1" si="5"/>
        <v/>
      </c>
      <c r="R16" s="40" t="str">
        <f t="shared" ca="1" si="5"/>
        <v/>
      </c>
      <c r="S16" s="40" t="str">
        <f t="shared" ca="1" si="5"/>
        <v/>
      </c>
      <c r="T16" s="40" t="str">
        <f t="shared" ca="1" si="5"/>
        <v/>
      </c>
      <c r="U16" s="40" t="str">
        <f t="shared" ca="1" si="5"/>
        <v/>
      </c>
      <c r="V16" s="40" t="str">
        <f t="shared" ca="1" si="5"/>
        <v/>
      </c>
      <c r="W16" s="40" t="str">
        <f t="shared" ca="1" si="5"/>
        <v/>
      </c>
      <c r="X16" s="40" t="str">
        <f t="shared" ca="1" si="5"/>
        <v/>
      </c>
      <c r="Y16" s="40" t="str">
        <f t="shared" ca="1" si="5"/>
        <v/>
      </c>
      <c r="Z16" s="40" t="str">
        <f t="shared" ref="Z16:AO31" ca="1" si="8">IF(
    AND(
        Z$7&gt;=$G16,
        Z$7&lt;=WORKDAY($G16,$H16-1),
        WEEKDAY(Z$7,2)&lt;=5
    ),
    _xlfn.SWITCH($D16,
        "Objetivo",2,
        "Marco",1,
        ""
    ),
    ""
)</f>
        <v/>
      </c>
      <c r="AA16" s="40" t="str">
        <f t="shared" ca="1" si="8"/>
        <v/>
      </c>
      <c r="AB16" s="40" t="str">
        <f t="shared" ca="1" si="8"/>
        <v/>
      </c>
      <c r="AC16" s="40" t="str">
        <f t="shared" ca="1" si="8"/>
        <v/>
      </c>
      <c r="AD16" s="40" t="str">
        <f t="shared" ca="1" si="8"/>
        <v/>
      </c>
      <c r="AE16" s="40" t="str">
        <f t="shared" ca="1" si="8"/>
        <v/>
      </c>
      <c r="AF16" s="40" t="str">
        <f t="shared" ca="1" si="8"/>
        <v/>
      </c>
      <c r="AG16" s="40" t="str">
        <f t="shared" ca="1" si="8"/>
        <v/>
      </c>
      <c r="AH16" s="40" t="str">
        <f t="shared" ca="1" si="8"/>
        <v/>
      </c>
      <c r="AI16" s="40" t="str">
        <f t="shared" ca="1" si="8"/>
        <v/>
      </c>
      <c r="AJ16" s="40" t="str">
        <f t="shared" ca="1" si="8"/>
        <v/>
      </c>
      <c r="AK16" s="40" t="str">
        <f t="shared" ca="1" si="8"/>
        <v/>
      </c>
      <c r="AL16" s="40" t="str">
        <f t="shared" ca="1" si="8"/>
        <v/>
      </c>
      <c r="AM16" s="40" t="str">
        <f t="shared" ca="1" si="8"/>
        <v/>
      </c>
      <c r="AN16" s="40" t="str">
        <f t="shared" ca="1" si="8"/>
        <v/>
      </c>
      <c r="AO16" s="40" t="str">
        <f t="shared" ca="1" si="8"/>
        <v/>
      </c>
      <c r="AP16" s="40" t="str">
        <f t="shared" ref="AP16:BE31" ca="1" si="9">IF(
    AND(
        AP$7&gt;=$G16,
        AP$7&lt;=WORKDAY($G16,$H16-1),
        WEEKDAY(AP$7,2)&lt;=5
    ),
    _xlfn.SWITCH($D16,
        "Objetivo",2,
        "Marco",1,
        ""
    ),
    ""
)</f>
        <v/>
      </c>
      <c r="AQ16" s="40" t="str">
        <f t="shared" ca="1" si="9"/>
        <v/>
      </c>
      <c r="AR16" s="40" t="str">
        <f t="shared" ca="1" si="9"/>
        <v/>
      </c>
      <c r="AS16" s="40" t="str">
        <f t="shared" ca="1" si="9"/>
        <v/>
      </c>
      <c r="AT16" s="40" t="str">
        <f t="shared" ca="1" si="9"/>
        <v/>
      </c>
      <c r="AU16" s="40" t="str">
        <f t="shared" ca="1" si="9"/>
        <v/>
      </c>
      <c r="AV16" s="40" t="str">
        <f t="shared" ca="1" si="9"/>
        <v/>
      </c>
      <c r="AW16" s="40" t="str">
        <f t="shared" ca="1" si="9"/>
        <v/>
      </c>
      <c r="AX16" s="40" t="str">
        <f t="shared" ca="1" si="9"/>
        <v/>
      </c>
      <c r="AY16" s="40" t="str">
        <f t="shared" ca="1" si="9"/>
        <v/>
      </c>
      <c r="AZ16" s="40" t="str">
        <f t="shared" ca="1" si="9"/>
        <v/>
      </c>
      <c r="BA16" s="40" t="str">
        <f t="shared" ca="1" si="9"/>
        <v/>
      </c>
      <c r="BB16" s="40" t="str">
        <f t="shared" ca="1" si="9"/>
        <v/>
      </c>
      <c r="BC16" s="40" t="str">
        <f t="shared" ca="1" si="9"/>
        <v/>
      </c>
      <c r="BD16" s="40" t="str">
        <f t="shared" ca="1" si="9"/>
        <v/>
      </c>
      <c r="BE16" s="40" t="str">
        <f t="shared" ca="1" si="9"/>
        <v/>
      </c>
      <c r="BF16" s="40" t="str">
        <f t="shared" ca="1" si="6"/>
        <v/>
      </c>
      <c r="BG16" s="40" t="str">
        <f t="shared" ca="1" si="6"/>
        <v/>
      </c>
      <c r="BH16" s="40" t="str">
        <f t="shared" ca="1" si="6"/>
        <v/>
      </c>
      <c r="BI16" s="40" t="str">
        <f t="shared" ca="1" si="6"/>
        <v/>
      </c>
      <c r="BJ16" s="40" t="str">
        <f t="shared" ca="1" si="7"/>
        <v/>
      </c>
      <c r="BK16" s="40" t="str">
        <f t="shared" ca="1" si="7"/>
        <v/>
      </c>
      <c r="BL16" s="40" t="str">
        <f t="shared" ca="1" si="7"/>
        <v/>
      </c>
      <c r="BM16" s="40" t="str">
        <f t="shared" ca="1" si="7"/>
        <v/>
      </c>
      <c r="BN16" s="24"/>
    </row>
    <row r="17" spans="1:66" s="1" customFormat="1" ht="40.15" customHeight="1" x14ac:dyDescent="0.25">
      <c r="A17" s="10"/>
      <c r="B17" s="19" t="s">
        <v>60</v>
      </c>
      <c r="C17" s="22" t="s">
        <v>39</v>
      </c>
      <c r="D17" s="19" t="s">
        <v>20</v>
      </c>
      <c r="E17" s="19" t="s">
        <v>54</v>
      </c>
      <c r="F17" s="19" t="s">
        <v>58</v>
      </c>
      <c r="G17" s="20">
        <f>IF(Milestones435[[#This Row],[Tipo]]="",G16,IF(Milestones435[[#This Row],[Tipo]]="Paralela",WORKDAY(VLOOKUP(F17,Milestones435[],6,FALSE),0),WORKDAY(VLOOKUP(F17,Milestones435[],6,FALSE),VLOOKUP(F17,Milestones435[],7,FALSE))))</f>
        <v>46182</v>
      </c>
      <c r="H17" s="21">
        <v>2</v>
      </c>
      <c r="I17" s="17"/>
      <c r="J17" s="40" t="str">
        <f t="shared" ca="1" si="5"/>
        <v/>
      </c>
      <c r="K17" s="40" t="str">
        <f t="shared" ca="1" si="5"/>
        <v/>
      </c>
      <c r="L17" s="40" t="str">
        <f t="shared" ca="1" si="5"/>
        <v/>
      </c>
      <c r="M17" s="40" t="str">
        <f t="shared" ca="1" si="5"/>
        <v/>
      </c>
      <c r="N17" s="40" t="str">
        <f t="shared" ca="1" si="5"/>
        <v/>
      </c>
      <c r="O17" s="40" t="str">
        <f t="shared" ca="1" si="5"/>
        <v/>
      </c>
      <c r="P17" s="40">
        <f t="shared" ca="1" si="5"/>
        <v>2</v>
      </c>
      <c r="Q17" s="40">
        <f t="shared" ca="1" si="5"/>
        <v>2</v>
      </c>
      <c r="R17" s="40" t="str">
        <f t="shared" ca="1" si="5"/>
        <v/>
      </c>
      <c r="S17" s="40" t="str">
        <f t="shared" ca="1" si="5"/>
        <v/>
      </c>
      <c r="T17" s="40" t="str">
        <f t="shared" ca="1" si="5"/>
        <v/>
      </c>
      <c r="U17" s="40" t="str">
        <f t="shared" ca="1" si="5"/>
        <v/>
      </c>
      <c r="V17" s="40" t="str">
        <f t="shared" ca="1" si="5"/>
        <v/>
      </c>
      <c r="W17" s="40" t="str">
        <f t="shared" ca="1" si="5"/>
        <v/>
      </c>
      <c r="X17" s="40" t="str">
        <f t="shared" ca="1" si="5"/>
        <v/>
      </c>
      <c r="Y17" s="40" t="str">
        <f t="shared" ca="1" si="5"/>
        <v/>
      </c>
      <c r="Z17" s="40" t="str">
        <f t="shared" ca="1" si="8"/>
        <v/>
      </c>
      <c r="AA17" s="40" t="str">
        <f t="shared" ca="1" si="8"/>
        <v/>
      </c>
      <c r="AB17" s="40" t="str">
        <f t="shared" ca="1" si="8"/>
        <v/>
      </c>
      <c r="AC17" s="40" t="str">
        <f t="shared" ca="1" si="8"/>
        <v/>
      </c>
      <c r="AD17" s="40" t="str">
        <f t="shared" ca="1" si="8"/>
        <v/>
      </c>
      <c r="AE17" s="40" t="str">
        <f t="shared" ca="1" si="8"/>
        <v/>
      </c>
      <c r="AF17" s="40" t="str">
        <f t="shared" ca="1" si="8"/>
        <v/>
      </c>
      <c r="AG17" s="40" t="str">
        <f t="shared" ca="1" si="8"/>
        <v/>
      </c>
      <c r="AH17" s="40" t="str">
        <f t="shared" ca="1" si="8"/>
        <v/>
      </c>
      <c r="AI17" s="40" t="str">
        <f t="shared" ca="1" si="8"/>
        <v/>
      </c>
      <c r="AJ17" s="40" t="str">
        <f t="shared" ca="1" si="8"/>
        <v/>
      </c>
      <c r="AK17" s="40" t="str">
        <f t="shared" ca="1" si="8"/>
        <v/>
      </c>
      <c r="AL17" s="40" t="str">
        <f t="shared" ca="1" si="8"/>
        <v/>
      </c>
      <c r="AM17" s="40" t="str">
        <f t="shared" ca="1" si="8"/>
        <v/>
      </c>
      <c r="AN17" s="40" t="str">
        <f t="shared" ca="1" si="8"/>
        <v/>
      </c>
      <c r="AO17" s="40" t="str">
        <f t="shared" ca="1" si="8"/>
        <v/>
      </c>
      <c r="AP17" s="40" t="str">
        <f t="shared" ca="1" si="9"/>
        <v/>
      </c>
      <c r="AQ17" s="40" t="str">
        <f t="shared" ca="1" si="9"/>
        <v/>
      </c>
      <c r="AR17" s="40" t="str">
        <f t="shared" ca="1" si="9"/>
        <v/>
      </c>
      <c r="AS17" s="40" t="str">
        <f t="shared" ca="1" si="9"/>
        <v/>
      </c>
      <c r="AT17" s="40" t="str">
        <f t="shared" ca="1" si="9"/>
        <v/>
      </c>
      <c r="AU17" s="40" t="str">
        <f t="shared" ca="1" si="9"/>
        <v/>
      </c>
      <c r="AV17" s="40" t="str">
        <f t="shared" ca="1" si="9"/>
        <v/>
      </c>
      <c r="AW17" s="40" t="str">
        <f t="shared" ca="1" si="9"/>
        <v/>
      </c>
      <c r="AX17" s="40" t="str">
        <f t="shared" ca="1" si="9"/>
        <v/>
      </c>
      <c r="AY17" s="40" t="str">
        <f t="shared" ca="1" si="9"/>
        <v/>
      </c>
      <c r="AZ17" s="40" t="str">
        <f t="shared" ca="1" si="9"/>
        <v/>
      </c>
      <c r="BA17" s="40" t="str">
        <f t="shared" ca="1" si="9"/>
        <v/>
      </c>
      <c r="BB17" s="40" t="str">
        <f t="shared" ca="1" si="9"/>
        <v/>
      </c>
      <c r="BC17" s="40" t="str">
        <f t="shared" ca="1" si="9"/>
        <v/>
      </c>
      <c r="BD17" s="40" t="str">
        <f t="shared" ca="1" si="9"/>
        <v/>
      </c>
      <c r="BE17" s="40" t="str">
        <f t="shared" ca="1" si="9"/>
        <v/>
      </c>
      <c r="BF17" s="40" t="str">
        <f t="shared" ca="1" si="6"/>
        <v/>
      </c>
      <c r="BG17" s="40" t="str">
        <f t="shared" ca="1" si="6"/>
        <v/>
      </c>
      <c r="BH17" s="40" t="str">
        <f t="shared" ca="1" si="6"/>
        <v/>
      </c>
      <c r="BI17" s="40" t="str">
        <f t="shared" ca="1" si="6"/>
        <v/>
      </c>
      <c r="BJ17" s="40" t="str">
        <f t="shared" ca="1" si="7"/>
        <v/>
      </c>
      <c r="BK17" s="40" t="str">
        <f t="shared" ca="1" si="7"/>
        <v/>
      </c>
      <c r="BL17" s="40" t="str">
        <f t="shared" ca="1" si="7"/>
        <v/>
      </c>
      <c r="BM17" s="40" t="str">
        <f t="shared" ca="1" si="7"/>
        <v/>
      </c>
      <c r="BN17" s="24"/>
    </row>
    <row r="18" spans="1:66" s="1" customFormat="1" ht="40.15" customHeight="1" x14ac:dyDescent="0.25">
      <c r="A18" s="10"/>
      <c r="B18" s="19" t="s">
        <v>62</v>
      </c>
      <c r="C18" s="103" t="s">
        <v>40</v>
      </c>
      <c r="D18" s="19"/>
      <c r="E18" s="19" t="s">
        <v>53</v>
      </c>
      <c r="F18" s="19" t="s">
        <v>60</v>
      </c>
      <c r="G18" s="20">
        <f>IF(Milestones435[[#This Row],[Tipo]]="",G17,IF(Milestones435[[#This Row],[Tipo]]="Paralela",WORKDAY(VLOOKUP(F18,Milestones435[],6,FALSE),0),WORKDAY(VLOOKUP(F18,Milestones435[],6,FALSE),VLOOKUP(F18,Milestones435[],7,FALSE))))</f>
        <v>46184</v>
      </c>
      <c r="H18" s="21"/>
      <c r="I18" s="17"/>
      <c r="J18" s="40" t="str">
        <f t="shared" ca="1" si="5"/>
        <v/>
      </c>
      <c r="K18" s="40" t="str">
        <f t="shared" ca="1" si="5"/>
        <v/>
      </c>
      <c r="L18" s="40" t="str">
        <f t="shared" ca="1" si="5"/>
        <v/>
      </c>
      <c r="M18" s="40" t="str">
        <f t="shared" ca="1" si="5"/>
        <v/>
      </c>
      <c r="N18" s="40" t="str">
        <f t="shared" ca="1" si="5"/>
        <v/>
      </c>
      <c r="O18" s="40" t="str">
        <f t="shared" ca="1" si="5"/>
        <v/>
      </c>
      <c r="P18" s="40" t="str">
        <f t="shared" ca="1" si="5"/>
        <v/>
      </c>
      <c r="Q18" s="40" t="str">
        <f t="shared" ca="1" si="5"/>
        <v/>
      </c>
      <c r="R18" s="40" t="str">
        <f t="shared" ca="1" si="5"/>
        <v/>
      </c>
      <c r="S18" s="40" t="str">
        <f t="shared" ca="1" si="5"/>
        <v/>
      </c>
      <c r="T18" s="40" t="str">
        <f t="shared" ca="1" si="5"/>
        <v/>
      </c>
      <c r="U18" s="40" t="str">
        <f t="shared" ca="1" si="5"/>
        <v/>
      </c>
      <c r="V18" s="40" t="str">
        <f t="shared" ca="1" si="5"/>
        <v/>
      </c>
      <c r="W18" s="40" t="str">
        <f t="shared" ca="1" si="5"/>
        <v/>
      </c>
      <c r="X18" s="40" t="str">
        <f t="shared" ca="1" si="5"/>
        <v/>
      </c>
      <c r="Y18" s="40" t="str">
        <f t="shared" ca="1" si="5"/>
        <v/>
      </c>
      <c r="Z18" s="40" t="str">
        <f t="shared" ca="1" si="8"/>
        <v/>
      </c>
      <c r="AA18" s="40" t="str">
        <f t="shared" ca="1" si="8"/>
        <v/>
      </c>
      <c r="AB18" s="40" t="str">
        <f t="shared" ca="1" si="8"/>
        <v/>
      </c>
      <c r="AC18" s="40" t="str">
        <f t="shared" ca="1" si="8"/>
        <v/>
      </c>
      <c r="AD18" s="40" t="str">
        <f t="shared" ca="1" si="8"/>
        <v/>
      </c>
      <c r="AE18" s="40" t="str">
        <f t="shared" ca="1" si="8"/>
        <v/>
      </c>
      <c r="AF18" s="40" t="str">
        <f t="shared" ca="1" si="8"/>
        <v/>
      </c>
      <c r="AG18" s="40" t="str">
        <f t="shared" ca="1" si="8"/>
        <v/>
      </c>
      <c r="AH18" s="40" t="str">
        <f t="shared" ca="1" si="8"/>
        <v/>
      </c>
      <c r="AI18" s="40" t="str">
        <f t="shared" ca="1" si="8"/>
        <v/>
      </c>
      <c r="AJ18" s="40" t="str">
        <f t="shared" ca="1" si="8"/>
        <v/>
      </c>
      <c r="AK18" s="40" t="str">
        <f t="shared" ca="1" si="8"/>
        <v/>
      </c>
      <c r="AL18" s="40" t="str">
        <f t="shared" ca="1" si="8"/>
        <v/>
      </c>
      <c r="AM18" s="40" t="str">
        <f t="shared" ca="1" si="8"/>
        <v/>
      </c>
      <c r="AN18" s="40" t="str">
        <f t="shared" ca="1" si="8"/>
        <v/>
      </c>
      <c r="AO18" s="40" t="str">
        <f t="shared" ca="1" si="8"/>
        <v/>
      </c>
      <c r="AP18" s="40" t="str">
        <f t="shared" ca="1" si="9"/>
        <v/>
      </c>
      <c r="AQ18" s="40" t="str">
        <f t="shared" ca="1" si="9"/>
        <v/>
      </c>
      <c r="AR18" s="40" t="str">
        <f t="shared" ca="1" si="9"/>
        <v/>
      </c>
      <c r="AS18" s="40" t="str">
        <f t="shared" ca="1" si="9"/>
        <v/>
      </c>
      <c r="AT18" s="40" t="str">
        <f t="shared" ca="1" si="9"/>
        <v/>
      </c>
      <c r="AU18" s="40" t="str">
        <f t="shared" ca="1" si="9"/>
        <v/>
      </c>
      <c r="AV18" s="40" t="str">
        <f t="shared" ca="1" si="9"/>
        <v/>
      </c>
      <c r="AW18" s="40" t="str">
        <f t="shared" ca="1" si="9"/>
        <v/>
      </c>
      <c r="AX18" s="40" t="str">
        <f t="shared" ca="1" si="9"/>
        <v/>
      </c>
      <c r="AY18" s="40" t="str">
        <f t="shared" ca="1" si="9"/>
        <v/>
      </c>
      <c r="AZ18" s="40" t="str">
        <f t="shared" ca="1" si="9"/>
        <v/>
      </c>
      <c r="BA18" s="40" t="str">
        <f t="shared" ca="1" si="9"/>
        <v/>
      </c>
      <c r="BB18" s="40" t="str">
        <f t="shared" ca="1" si="9"/>
        <v/>
      </c>
      <c r="BC18" s="40" t="str">
        <f t="shared" ca="1" si="9"/>
        <v/>
      </c>
      <c r="BD18" s="40" t="str">
        <f t="shared" ca="1" si="9"/>
        <v/>
      </c>
      <c r="BE18" s="40" t="str">
        <f t="shared" ca="1" si="9"/>
        <v/>
      </c>
      <c r="BF18" s="40" t="str">
        <f t="shared" ca="1" si="6"/>
        <v/>
      </c>
      <c r="BG18" s="40" t="str">
        <f t="shared" ca="1" si="6"/>
        <v/>
      </c>
      <c r="BH18" s="40" t="str">
        <f t="shared" ca="1" si="6"/>
        <v/>
      </c>
      <c r="BI18" s="40" t="str">
        <f t="shared" ca="1" si="6"/>
        <v/>
      </c>
      <c r="BJ18" s="40" t="str">
        <f t="shared" ca="1" si="7"/>
        <v/>
      </c>
      <c r="BK18" s="40" t="str">
        <f t="shared" ca="1" si="7"/>
        <v/>
      </c>
      <c r="BL18" s="40" t="str">
        <f t="shared" ca="1" si="7"/>
        <v/>
      </c>
      <c r="BM18" s="40" t="str">
        <f t="shared" ca="1" si="7"/>
        <v/>
      </c>
      <c r="BN18" s="24"/>
    </row>
    <row r="19" spans="1:66" s="1" customFormat="1" ht="40.15" customHeight="1" x14ac:dyDescent="0.25">
      <c r="A19" s="9"/>
      <c r="B19" s="19" t="s">
        <v>66</v>
      </c>
      <c r="C19" s="22" t="s">
        <v>41</v>
      </c>
      <c r="D19" s="19" t="s">
        <v>25</v>
      </c>
      <c r="E19" s="19" t="s">
        <v>54</v>
      </c>
      <c r="F19" s="19" t="s">
        <v>62</v>
      </c>
      <c r="G19" s="20">
        <f>IF(Milestones435[[#This Row],[Tipo]]="",G18,IF(Milestones435[[#This Row],[Tipo]]="Paralela",WORKDAY(VLOOKUP(F19,Milestones435[],6,FALSE),0),WORKDAY(VLOOKUP(F19,Milestones435[],6,FALSE),VLOOKUP(F19,Milestones435[],7,FALSE))))</f>
        <v>46184</v>
      </c>
      <c r="H19" s="21">
        <v>3</v>
      </c>
      <c r="I19" s="17"/>
      <c r="J19" s="40" t="str">
        <f t="shared" ca="1" si="5"/>
        <v/>
      </c>
      <c r="K19" s="40" t="str">
        <f t="shared" ca="1" si="5"/>
        <v/>
      </c>
      <c r="L19" s="40" t="str">
        <f t="shared" ca="1" si="5"/>
        <v/>
      </c>
      <c r="M19" s="40" t="str">
        <f t="shared" ca="1" si="5"/>
        <v/>
      </c>
      <c r="N19" s="40" t="str">
        <f t="shared" ca="1" si="5"/>
        <v/>
      </c>
      <c r="O19" s="40" t="str">
        <f t="shared" ca="1" si="5"/>
        <v/>
      </c>
      <c r="P19" s="40" t="str">
        <f t="shared" ca="1" si="5"/>
        <v/>
      </c>
      <c r="Q19" s="40" t="str">
        <f t="shared" ca="1" si="5"/>
        <v/>
      </c>
      <c r="R19" s="40" t="str">
        <f t="shared" ca="1" si="5"/>
        <v/>
      </c>
      <c r="S19" s="40" t="str">
        <f t="shared" ca="1" si="5"/>
        <v/>
      </c>
      <c r="T19" s="40" t="str">
        <f t="shared" ca="1" si="5"/>
        <v/>
      </c>
      <c r="U19" s="40" t="str">
        <f t="shared" ca="1" si="5"/>
        <v/>
      </c>
      <c r="V19" s="40" t="str">
        <f t="shared" ca="1" si="5"/>
        <v/>
      </c>
      <c r="W19" s="40" t="str">
        <f t="shared" ca="1" si="5"/>
        <v/>
      </c>
      <c r="X19" s="40" t="str">
        <f t="shared" ca="1" si="5"/>
        <v/>
      </c>
      <c r="Y19" s="40" t="str">
        <f t="shared" ca="1" si="5"/>
        <v/>
      </c>
      <c r="Z19" s="40" t="str">
        <f t="shared" ca="1" si="8"/>
        <v/>
      </c>
      <c r="AA19" s="40" t="str">
        <f t="shared" ca="1" si="8"/>
        <v/>
      </c>
      <c r="AB19" s="40" t="str">
        <f t="shared" ca="1" si="8"/>
        <v/>
      </c>
      <c r="AC19" s="40" t="str">
        <f t="shared" ca="1" si="8"/>
        <v/>
      </c>
      <c r="AD19" s="40" t="str">
        <f t="shared" ca="1" si="8"/>
        <v/>
      </c>
      <c r="AE19" s="40" t="str">
        <f t="shared" ca="1" si="8"/>
        <v/>
      </c>
      <c r="AF19" s="40" t="str">
        <f t="shared" ca="1" si="8"/>
        <v/>
      </c>
      <c r="AG19" s="40" t="str">
        <f t="shared" ca="1" si="8"/>
        <v/>
      </c>
      <c r="AH19" s="40" t="str">
        <f t="shared" ca="1" si="8"/>
        <v/>
      </c>
      <c r="AI19" s="40" t="str">
        <f t="shared" ca="1" si="8"/>
        <v/>
      </c>
      <c r="AJ19" s="40" t="str">
        <f t="shared" ca="1" si="8"/>
        <v/>
      </c>
      <c r="AK19" s="40" t="str">
        <f t="shared" ca="1" si="8"/>
        <v/>
      </c>
      <c r="AL19" s="40" t="str">
        <f t="shared" ca="1" si="8"/>
        <v/>
      </c>
      <c r="AM19" s="40" t="str">
        <f t="shared" ca="1" si="8"/>
        <v/>
      </c>
      <c r="AN19" s="40" t="str">
        <f t="shared" ca="1" si="8"/>
        <v/>
      </c>
      <c r="AO19" s="40" t="str">
        <f t="shared" ca="1" si="8"/>
        <v/>
      </c>
      <c r="AP19" s="40" t="str">
        <f t="shared" ca="1" si="9"/>
        <v/>
      </c>
      <c r="AQ19" s="40" t="str">
        <f t="shared" ca="1" si="9"/>
        <v/>
      </c>
      <c r="AR19" s="40" t="str">
        <f t="shared" ca="1" si="9"/>
        <v/>
      </c>
      <c r="AS19" s="40" t="str">
        <f t="shared" ca="1" si="9"/>
        <v/>
      </c>
      <c r="AT19" s="40" t="str">
        <f t="shared" ca="1" si="9"/>
        <v/>
      </c>
      <c r="AU19" s="40" t="str">
        <f t="shared" ca="1" si="9"/>
        <v/>
      </c>
      <c r="AV19" s="40" t="str">
        <f t="shared" ca="1" si="9"/>
        <v/>
      </c>
      <c r="AW19" s="40" t="str">
        <f t="shared" ca="1" si="9"/>
        <v/>
      </c>
      <c r="AX19" s="40" t="str">
        <f t="shared" ca="1" si="9"/>
        <v/>
      </c>
      <c r="AY19" s="40" t="str">
        <f t="shared" ca="1" si="9"/>
        <v/>
      </c>
      <c r="AZ19" s="40" t="str">
        <f t="shared" ca="1" si="9"/>
        <v/>
      </c>
      <c r="BA19" s="40" t="str">
        <f t="shared" ca="1" si="9"/>
        <v/>
      </c>
      <c r="BB19" s="40" t="str">
        <f t="shared" ca="1" si="9"/>
        <v/>
      </c>
      <c r="BC19" s="40" t="str">
        <f t="shared" ca="1" si="9"/>
        <v/>
      </c>
      <c r="BD19" s="40" t="str">
        <f t="shared" ca="1" si="9"/>
        <v/>
      </c>
      <c r="BE19" s="40" t="str">
        <f t="shared" ca="1" si="9"/>
        <v/>
      </c>
      <c r="BF19" s="40" t="str">
        <f t="shared" ca="1" si="6"/>
        <v/>
      </c>
      <c r="BG19" s="40" t="str">
        <f t="shared" ca="1" si="6"/>
        <v/>
      </c>
      <c r="BH19" s="40" t="str">
        <f t="shared" ca="1" si="6"/>
        <v/>
      </c>
      <c r="BI19" s="40" t="str">
        <f t="shared" ca="1" si="6"/>
        <v/>
      </c>
      <c r="BJ19" s="40" t="str">
        <f t="shared" ca="1" si="7"/>
        <v/>
      </c>
      <c r="BK19" s="40" t="str">
        <f t="shared" ca="1" si="7"/>
        <v/>
      </c>
      <c r="BL19" s="40" t="str">
        <f t="shared" ca="1" si="7"/>
        <v/>
      </c>
      <c r="BM19" s="40" t="str">
        <f t="shared" ca="1" si="7"/>
        <v/>
      </c>
      <c r="BN19" s="24"/>
    </row>
    <row r="20" spans="1:66" s="1" customFormat="1" ht="40.15" customHeight="1" x14ac:dyDescent="0.25">
      <c r="A20" s="9"/>
      <c r="B20" s="19" t="s">
        <v>68</v>
      </c>
      <c r="C20" s="22" t="s">
        <v>42</v>
      </c>
      <c r="D20" s="19" t="s">
        <v>25</v>
      </c>
      <c r="E20" s="19" t="s">
        <v>54</v>
      </c>
      <c r="F20" s="19" t="s">
        <v>66</v>
      </c>
      <c r="G20" s="20">
        <f>IF(Milestones435[[#This Row],[Tipo]]="",G19,IF(Milestones435[[#This Row],[Tipo]]="Paralela",WORKDAY(VLOOKUP(F20,Milestones435[],6,FALSE),0),WORKDAY(VLOOKUP(F20,Milestones435[],6,FALSE),VLOOKUP(F20,Milestones435[],7,FALSE))))</f>
        <v>46184</v>
      </c>
      <c r="H20" s="21">
        <v>3</v>
      </c>
      <c r="I20" s="17"/>
      <c r="J20" s="40" t="str">
        <f t="shared" ca="1" si="5"/>
        <v/>
      </c>
      <c r="K20" s="40" t="str">
        <f t="shared" ca="1" si="5"/>
        <v/>
      </c>
      <c r="L20" s="40" t="str">
        <f t="shared" ca="1" si="5"/>
        <v/>
      </c>
      <c r="M20" s="40" t="str">
        <f t="shared" ca="1" si="5"/>
        <v/>
      </c>
      <c r="N20" s="40" t="str">
        <f t="shared" ca="1" si="5"/>
        <v/>
      </c>
      <c r="O20" s="40" t="str">
        <f t="shared" ca="1" si="5"/>
        <v/>
      </c>
      <c r="P20" s="40" t="str">
        <f t="shared" ca="1" si="5"/>
        <v/>
      </c>
      <c r="Q20" s="40" t="str">
        <f t="shared" ca="1" si="5"/>
        <v/>
      </c>
      <c r="R20" s="40" t="str">
        <f t="shared" ca="1" si="5"/>
        <v/>
      </c>
      <c r="S20" s="40" t="str">
        <f t="shared" ca="1" si="5"/>
        <v/>
      </c>
      <c r="T20" s="40" t="str">
        <f t="shared" ca="1" si="5"/>
        <v/>
      </c>
      <c r="U20" s="40" t="str">
        <f t="shared" ca="1" si="5"/>
        <v/>
      </c>
      <c r="V20" s="40" t="str">
        <f t="shared" ca="1" si="5"/>
        <v/>
      </c>
      <c r="W20" s="40" t="str">
        <f t="shared" ca="1" si="5"/>
        <v/>
      </c>
      <c r="X20" s="40" t="str">
        <f t="shared" ca="1" si="5"/>
        <v/>
      </c>
      <c r="Y20" s="40" t="str">
        <f t="shared" ca="1" si="5"/>
        <v/>
      </c>
      <c r="Z20" s="40" t="str">
        <f t="shared" ca="1" si="8"/>
        <v/>
      </c>
      <c r="AA20" s="40" t="str">
        <f t="shared" ca="1" si="8"/>
        <v/>
      </c>
      <c r="AB20" s="40" t="str">
        <f t="shared" ca="1" si="8"/>
        <v/>
      </c>
      <c r="AC20" s="40" t="str">
        <f t="shared" ca="1" si="8"/>
        <v/>
      </c>
      <c r="AD20" s="40" t="str">
        <f t="shared" ca="1" si="8"/>
        <v/>
      </c>
      <c r="AE20" s="40" t="str">
        <f t="shared" ca="1" si="8"/>
        <v/>
      </c>
      <c r="AF20" s="40" t="str">
        <f t="shared" ca="1" si="8"/>
        <v/>
      </c>
      <c r="AG20" s="40" t="str">
        <f t="shared" ca="1" si="8"/>
        <v/>
      </c>
      <c r="AH20" s="40" t="str">
        <f t="shared" ca="1" si="8"/>
        <v/>
      </c>
      <c r="AI20" s="40" t="str">
        <f t="shared" ca="1" si="8"/>
        <v/>
      </c>
      <c r="AJ20" s="40" t="str">
        <f t="shared" ca="1" si="8"/>
        <v/>
      </c>
      <c r="AK20" s="40" t="str">
        <f t="shared" ca="1" si="8"/>
        <v/>
      </c>
      <c r="AL20" s="40" t="str">
        <f t="shared" ca="1" si="8"/>
        <v/>
      </c>
      <c r="AM20" s="40" t="str">
        <f t="shared" ca="1" si="8"/>
        <v/>
      </c>
      <c r="AN20" s="40" t="str">
        <f t="shared" ca="1" si="8"/>
        <v/>
      </c>
      <c r="AO20" s="40" t="str">
        <f t="shared" ca="1" si="8"/>
        <v/>
      </c>
      <c r="AP20" s="40" t="str">
        <f t="shared" ca="1" si="9"/>
        <v/>
      </c>
      <c r="AQ20" s="40" t="str">
        <f t="shared" ca="1" si="9"/>
        <v/>
      </c>
      <c r="AR20" s="40" t="str">
        <f t="shared" ca="1" si="9"/>
        <v/>
      </c>
      <c r="AS20" s="40" t="str">
        <f t="shared" ca="1" si="9"/>
        <v/>
      </c>
      <c r="AT20" s="40" t="str">
        <f t="shared" ca="1" si="9"/>
        <v/>
      </c>
      <c r="AU20" s="40" t="str">
        <f t="shared" ca="1" si="9"/>
        <v/>
      </c>
      <c r="AV20" s="40" t="str">
        <f t="shared" ca="1" si="9"/>
        <v/>
      </c>
      <c r="AW20" s="40" t="str">
        <f t="shared" ca="1" si="9"/>
        <v/>
      </c>
      <c r="AX20" s="40" t="str">
        <f t="shared" ca="1" si="9"/>
        <v/>
      </c>
      <c r="AY20" s="40" t="str">
        <f t="shared" ca="1" si="9"/>
        <v/>
      </c>
      <c r="AZ20" s="40" t="str">
        <f t="shared" ca="1" si="9"/>
        <v/>
      </c>
      <c r="BA20" s="40" t="str">
        <f t="shared" ca="1" si="9"/>
        <v/>
      </c>
      <c r="BB20" s="40" t="str">
        <f t="shared" ca="1" si="9"/>
        <v/>
      </c>
      <c r="BC20" s="40" t="str">
        <f t="shared" ca="1" si="9"/>
        <v/>
      </c>
      <c r="BD20" s="40" t="str">
        <f t="shared" ca="1" si="9"/>
        <v/>
      </c>
      <c r="BE20" s="40" t="str">
        <f t="shared" ca="1" si="9"/>
        <v/>
      </c>
      <c r="BF20" s="40" t="str">
        <f t="shared" ca="1" si="6"/>
        <v/>
      </c>
      <c r="BG20" s="40" t="str">
        <f t="shared" ca="1" si="6"/>
        <v/>
      </c>
      <c r="BH20" s="40" t="str">
        <f t="shared" ca="1" si="6"/>
        <v/>
      </c>
      <c r="BI20" s="40" t="str">
        <f t="shared" ca="1" si="6"/>
        <v/>
      </c>
      <c r="BJ20" s="40" t="str">
        <f t="shared" ca="1" si="7"/>
        <v/>
      </c>
      <c r="BK20" s="40" t="str">
        <f t="shared" ca="1" si="7"/>
        <v/>
      </c>
      <c r="BL20" s="40" t="str">
        <f t="shared" ca="1" si="7"/>
        <v/>
      </c>
      <c r="BM20" s="40" t="str">
        <f t="shared" ca="1" si="7"/>
        <v/>
      </c>
      <c r="BN20" s="24"/>
    </row>
    <row r="21" spans="1:66" s="1" customFormat="1" ht="40.15" customHeight="1" x14ac:dyDescent="0.25">
      <c r="A21" s="9"/>
      <c r="B21" s="19" t="s">
        <v>67</v>
      </c>
      <c r="C21" s="22" t="s">
        <v>43</v>
      </c>
      <c r="D21" s="19" t="s">
        <v>25</v>
      </c>
      <c r="E21" s="19" t="s">
        <v>53</v>
      </c>
      <c r="F21" s="19" t="s">
        <v>68</v>
      </c>
      <c r="G21" s="20">
        <f>IF(Milestones435[[#This Row],[Tipo]]="",G20,IF(Milestones435[[#This Row],[Tipo]]="Paralela",WORKDAY(VLOOKUP(F21,Milestones435[],6,FALSE),0),WORKDAY(VLOOKUP(F21,Milestones435[],6,FALSE),VLOOKUP(F21,Milestones435[],7,FALSE))))</f>
        <v>46189</v>
      </c>
      <c r="H21" s="21">
        <v>3</v>
      </c>
      <c r="I21" s="17"/>
      <c r="J21" s="40" t="str">
        <f t="shared" ca="1" si="5"/>
        <v/>
      </c>
      <c r="K21" s="40" t="str">
        <f t="shared" ca="1" si="5"/>
        <v/>
      </c>
      <c r="L21" s="40" t="str">
        <f t="shared" ca="1" si="5"/>
        <v/>
      </c>
      <c r="M21" s="40" t="str">
        <f t="shared" ca="1" si="5"/>
        <v/>
      </c>
      <c r="N21" s="40" t="str">
        <f t="shared" ca="1" si="5"/>
        <v/>
      </c>
      <c r="O21" s="40" t="str">
        <f t="shared" ca="1" si="5"/>
        <v/>
      </c>
      <c r="P21" s="40" t="str">
        <f t="shared" ca="1" si="5"/>
        <v/>
      </c>
      <c r="Q21" s="40" t="str">
        <f t="shared" ca="1" si="5"/>
        <v/>
      </c>
      <c r="R21" s="40" t="str">
        <f t="shared" ca="1" si="5"/>
        <v/>
      </c>
      <c r="S21" s="40" t="str">
        <f t="shared" ca="1" si="5"/>
        <v/>
      </c>
      <c r="T21" s="40" t="str">
        <f t="shared" ca="1" si="5"/>
        <v/>
      </c>
      <c r="U21" s="40" t="str">
        <f t="shared" ca="1" si="5"/>
        <v/>
      </c>
      <c r="V21" s="40" t="str">
        <f t="shared" ca="1" si="5"/>
        <v/>
      </c>
      <c r="W21" s="40" t="str">
        <f t="shared" ca="1" si="5"/>
        <v/>
      </c>
      <c r="X21" s="40" t="str">
        <f t="shared" ca="1" si="5"/>
        <v/>
      </c>
      <c r="Y21" s="40" t="str">
        <f t="shared" ca="1" si="5"/>
        <v/>
      </c>
      <c r="Z21" s="40" t="str">
        <f t="shared" ca="1" si="8"/>
        <v/>
      </c>
      <c r="AA21" s="40" t="str">
        <f t="shared" ca="1" si="8"/>
        <v/>
      </c>
      <c r="AB21" s="40" t="str">
        <f t="shared" ca="1" si="8"/>
        <v/>
      </c>
      <c r="AC21" s="40" t="str">
        <f t="shared" ca="1" si="8"/>
        <v/>
      </c>
      <c r="AD21" s="40" t="str">
        <f t="shared" ca="1" si="8"/>
        <v/>
      </c>
      <c r="AE21" s="40" t="str">
        <f t="shared" ca="1" si="8"/>
        <v/>
      </c>
      <c r="AF21" s="40" t="str">
        <f t="shared" ca="1" si="8"/>
        <v/>
      </c>
      <c r="AG21" s="40" t="str">
        <f t="shared" ca="1" si="8"/>
        <v/>
      </c>
      <c r="AH21" s="40" t="str">
        <f t="shared" ca="1" si="8"/>
        <v/>
      </c>
      <c r="AI21" s="40" t="str">
        <f t="shared" ca="1" si="8"/>
        <v/>
      </c>
      <c r="AJ21" s="40" t="str">
        <f t="shared" ca="1" si="8"/>
        <v/>
      </c>
      <c r="AK21" s="40" t="str">
        <f t="shared" ca="1" si="8"/>
        <v/>
      </c>
      <c r="AL21" s="40" t="str">
        <f t="shared" ca="1" si="8"/>
        <v/>
      </c>
      <c r="AM21" s="40" t="str">
        <f t="shared" ca="1" si="8"/>
        <v/>
      </c>
      <c r="AN21" s="40" t="str">
        <f t="shared" ca="1" si="8"/>
        <v/>
      </c>
      <c r="AO21" s="40" t="str">
        <f t="shared" ca="1" si="8"/>
        <v/>
      </c>
      <c r="AP21" s="40" t="str">
        <f t="shared" ca="1" si="9"/>
        <v/>
      </c>
      <c r="AQ21" s="40" t="str">
        <f t="shared" ca="1" si="9"/>
        <v/>
      </c>
      <c r="AR21" s="40" t="str">
        <f t="shared" ca="1" si="9"/>
        <v/>
      </c>
      <c r="AS21" s="40" t="str">
        <f t="shared" ca="1" si="9"/>
        <v/>
      </c>
      <c r="AT21" s="40" t="str">
        <f t="shared" ca="1" si="9"/>
        <v/>
      </c>
      <c r="AU21" s="40" t="str">
        <f t="shared" ca="1" si="9"/>
        <v/>
      </c>
      <c r="AV21" s="40" t="str">
        <f t="shared" ca="1" si="9"/>
        <v/>
      </c>
      <c r="AW21" s="40" t="str">
        <f t="shared" ca="1" si="9"/>
        <v/>
      </c>
      <c r="AX21" s="40" t="str">
        <f t="shared" ca="1" si="9"/>
        <v/>
      </c>
      <c r="AY21" s="40" t="str">
        <f t="shared" ca="1" si="9"/>
        <v/>
      </c>
      <c r="AZ21" s="40" t="str">
        <f t="shared" ca="1" si="9"/>
        <v/>
      </c>
      <c r="BA21" s="40" t="str">
        <f t="shared" ca="1" si="9"/>
        <v/>
      </c>
      <c r="BB21" s="40" t="str">
        <f t="shared" ca="1" si="9"/>
        <v/>
      </c>
      <c r="BC21" s="40" t="str">
        <f t="shared" ca="1" si="9"/>
        <v/>
      </c>
      <c r="BD21" s="40" t="str">
        <f t="shared" ca="1" si="9"/>
        <v/>
      </c>
      <c r="BE21" s="40" t="str">
        <f t="shared" ca="1" si="9"/>
        <v/>
      </c>
      <c r="BF21" s="40" t="str">
        <f t="shared" ca="1" si="6"/>
        <v/>
      </c>
      <c r="BG21" s="40" t="str">
        <f t="shared" ca="1" si="6"/>
        <v/>
      </c>
      <c r="BH21" s="40" t="str">
        <f t="shared" ca="1" si="6"/>
        <v/>
      </c>
      <c r="BI21" s="40" t="str">
        <f t="shared" ca="1" si="6"/>
        <v/>
      </c>
      <c r="BJ21" s="40" t="str">
        <f t="shared" ca="1" si="7"/>
        <v/>
      </c>
      <c r="BK21" s="40" t="str">
        <f t="shared" ca="1" si="7"/>
        <v/>
      </c>
      <c r="BL21" s="40" t="str">
        <f t="shared" ca="1" si="7"/>
        <v/>
      </c>
      <c r="BM21" s="40" t="str">
        <f t="shared" ca="1" si="7"/>
        <v/>
      </c>
      <c r="BN21" s="24"/>
    </row>
    <row r="22" spans="1:66" s="1" customFormat="1" ht="40.15" customHeight="1" x14ac:dyDescent="0.25">
      <c r="A22" s="9"/>
      <c r="B22" s="19" t="s">
        <v>69</v>
      </c>
      <c r="C22" s="22" t="s">
        <v>44</v>
      </c>
      <c r="D22" s="19" t="s">
        <v>25</v>
      </c>
      <c r="E22" s="19" t="s">
        <v>54</v>
      </c>
      <c r="F22" s="19" t="s">
        <v>67</v>
      </c>
      <c r="G22" s="20">
        <f>IF(Milestones435[[#This Row],[Tipo]]="",G21,IF(Milestones435[[#This Row],[Tipo]]="Paralela",WORKDAY(VLOOKUP(F22,Milestones435[],6,FALSE),0),WORKDAY(VLOOKUP(F22,Milestones435[],6,FALSE),VLOOKUP(F22,Milestones435[],7,FALSE))))</f>
        <v>46189</v>
      </c>
      <c r="H22" s="21">
        <v>3</v>
      </c>
      <c r="I22" s="17"/>
      <c r="J22" s="40" t="str">
        <f t="shared" ca="1" si="5"/>
        <v/>
      </c>
      <c r="K22" s="40" t="str">
        <f t="shared" ca="1" si="5"/>
        <v/>
      </c>
      <c r="L22" s="40" t="str">
        <f t="shared" ca="1" si="5"/>
        <v/>
      </c>
      <c r="M22" s="40" t="str">
        <f t="shared" ca="1" si="5"/>
        <v/>
      </c>
      <c r="N22" s="40" t="str">
        <f t="shared" ca="1" si="5"/>
        <v/>
      </c>
      <c r="O22" s="40" t="str">
        <f t="shared" ca="1" si="5"/>
        <v/>
      </c>
      <c r="P22" s="40" t="str">
        <f t="shared" ca="1" si="5"/>
        <v/>
      </c>
      <c r="Q22" s="40" t="str">
        <f t="shared" ca="1" si="5"/>
        <v/>
      </c>
      <c r="R22" s="40" t="str">
        <f t="shared" ca="1" si="5"/>
        <v/>
      </c>
      <c r="S22" s="40" t="str">
        <f t="shared" ca="1" si="5"/>
        <v/>
      </c>
      <c r="T22" s="40" t="str">
        <f t="shared" ca="1" si="5"/>
        <v/>
      </c>
      <c r="U22" s="40" t="str">
        <f t="shared" ca="1" si="5"/>
        <v/>
      </c>
      <c r="V22" s="40" t="str">
        <f t="shared" ca="1" si="5"/>
        <v/>
      </c>
      <c r="W22" s="40" t="str">
        <f t="shared" ca="1" si="5"/>
        <v/>
      </c>
      <c r="X22" s="40" t="str">
        <f t="shared" ca="1" si="5"/>
        <v/>
      </c>
      <c r="Y22" s="40" t="str">
        <f t="shared" ca="1" si="5"/>
        <v/>
      </c>
      <c r="Z22" s="40" t="str">
        <f t="shared" ca="1" si="8"/>
        <v/>
      </c>
      <c r="AA22" s="40" t="str">
        <f t="shared" ca="1" si="8"/>
        <v/>
      </c>
      <c r="AB22" s="40" t="str">
        <f t="shared" ca="1" si="8"/>
        <v/>
      </c>
      <c r="AC22" s="40" t="str">
        <f t="shared" ca="1" si="8"/>
        <v/>
      </c>
      <c r="AD22" s="40" t="str">
        <f t="shared" ca="1" si="8"/>
        <v/>
      </c>
      <c r="AE22" s="40" t="str">
        <f t="shared" ca="1" si="8"/>
        <v/>
      </c>
      <c r="AF22" s="40" t="str">
        <f t="shared" ca="1" si="8"/>
        <v/>
      </c>
      <c r="AG22" s="40" t="str">
        <f t="shared" ca="1" si="8"/>
        <v/>
      </c>
      <c r="AH22" s="40" t="str">
        <f t="shared" ca="1" si="8"/>
        <v/>
      </c>
      <c r="AI22" s="40" t="str">
        <f t="shared" ca="1" si="8"/>
        <v/>
      </c>
      <c r="AJ22" s="40" t="str">
        <f t="shared" ca="1" si="8"/>
        <v/>
      </c>
      <c r="AK22" s="40" t="str">
        <f t="shared" ca="1" si="8"/>
        <v/>
      </c>
      <c r="AL22" s="40" t="str">
        <f t="shared" ca="1" si="8"/>
        <v/>
      </c>
      <c r="AM22" s="40" t="str">
        <f t="shared" ca="1" si="8"/>
        <v/>
      </c>
      <c r="AN22" s="40" t="str">
        <f t="shared" ca="1" si="8"/>
        <v/>
      </c>
      <c r="AO22" s="40" t="str">
        <f t="shared" ca="1" si="8"/>
        <v/>
      </c>
      <c r="AP22" s="40" t="str">
        <f t="shared" ca="1" si="9"/>
        <v/>
      </c>
      <c r="AQ22" s="40" t="str">
        <f t="shared" ca="1" si="9"/>
        <v/>
      </c>
      <c r="AR22" s="40" t="str">
        <f t="shared" ca="1" si="9"/>
        <v/>
      </c>
      <c r="AS22" s="40" t="str">
        <f t="shared" ca="1" si="9"/>
        <v/>
      </c>
      <c r="AT22" s="40" t="str">
        <f t="shared" ca="1" si="9"/>
        <v/>
      </c>
      <c r="AU22" s="40" t="str">
        <f t="shared" ca="1" si="9"/>
        <v/>
      </c>
      <c r="AV22" s="40" t="str">
        <f t="shared" ca="1" si="9"/>
        <v/>
      </c>
      <c r="AW22" s="40" t="str">
        <f t="shared" ca="1" si="9"/>
        <v/>
      </c>
      <c r="AX22" s="40" t="str">
        <f t="shared" ca="1" si="9"/>
        <v/>
      </c>
      <c r="AY22" s="40" t="str">
        <f t="shared" ca="1" si="9"/>
        <v/>
      </c>
      <c r="AZ22" s="40" t="str">
        <f t="shared" ca="1" si="9"/>
        <v/>
      </c>
      <c r="BA22" s="40" t="str">
        <f t="shared" ca="1" si="9"/>
        <v/>
      </c>
      <c r="BB22" s="40" t="str">
        <f t="shared" ca="1" si="9"/>
        <v/>
      </c>
      <c r="BC22" s="40" t="str">
        <f t="shared" ca="1" si="9"/>
        <v/>
      </c>
      <c r="BD22" s="40" t="str">
        <f t="shared" ca="1" si="9"/>
        <v/>
      </c>
      <c r="BE22" s="40" t="str">
        <f t="shared" ca="1" si="9"/>
        <v/>
      </c>
      <c r="BF22" s="40" t="str">
        <f t="shared" ca="1" si="6"/>
        <v/>
      </c>
      <c r="BG22" s="40" t="str">
        <f t="shared" ca="1" si="6"/>
        <v/>
      </c>
      <c r="BH22" s="40" t="str">
        <f t="shared" ca="1" si="6"/>
        <v/>
      </c>
      <c r="BI22" s="40" t="str">
        <f t="shared" ca="1" si="6"/>
        <v/>
      </c>
      <c r="BJ22" s="40" t="str">
        <f t="shared" ca="1" si="7"/>
        <v/>
      </c>
      <c r="BK22" s="40" t="str">
        <f t="shared" ca="1" si="7"/>
        <v/>
      </c>
      <c r="BL22" s="40" t="str">
        <f t="shared" ca="1" si="7"/>
        <v/>
      </c>
      <c r="BM22" s="40" t="str">
        <f t="shared" ca="1" si="7"/>
        <v/>
      </c>
      <c r="BN22" s="24"/>
    </row>
    <row r="23" spans="1:66" s="1" customFormat="1" ht="40.15" customHeight="1" x14ac:dyDescent="0.25">
      <c r="A23" s="9"/>
      <c r="B23" s="19" t="s">
        <v>70</v>
      </c>
      <c r="C23" s="103" t="s">
        <v>45</v>
      </c>
      <c r="D23" s="19"/>
      <c r="E23" s="19" t="s">
        <v>53</v>
      </c>
      <c r="F23" s="19" t="s">
        <v>69</v>
      </c>
      <c r="G23" s="20">
        <f>IF(Milestones435[[#This Row],[Tipo]]="",G22,IF(Milestones435[[#This Row],[Tipo]]="Paralela",WORKDAY(VLOOKUP(F23,Milestones435[],6,FALSE),0),WORKDAY(VLOOKUP(F23,Milestones435[],6,FALSE),VLOOKUP(F23,Milestones435[],7,FALSE))))</f>
        <v>46192</v>
      </c>
      <c r="H23" s="21"/>
      <c r="I23" s="17"/>
      <c r="J23" s="40" t="str">
        <f t="shared" ca="1" si="5"/>
        <v/>
      </c>
      <c r="K23" s="40" t="str">
        <f t="shared" ca="1" si="5"/>
        <v/>
      </c>
      <c r="L23" s="40" t="str">
        <f t="shared" ca="1" si="5"/>
        <v/>
      </c>
      <c r="M23" s="40" t="str">
        <f t="shared" ca="1" si="5"/>
        <v/>
      </c>
      <c r="N23" s="40" t="str">
        <f t="shared" ca="1" si="5"/>
        <v/>
      </c>
      <c r="O23" s="40" t="str">
        <f t="shared" ca="1" si="5"/>
        <v/>
      </c>
      <c r="P23" s="40" t="str">
        <f t="shared" ca="1" si="5"/>
        <v/>
      </c>
      <c r="Q23" s="40" t="str">
        <f t="shared" ca="1" si="5"/>
        <v/>
      </c>
      <c r="R23" s="40" t="str">
        <f t="shared" ca="1" si="5"/>
        <v/>
      </c>
      <c r="S23" s="40" t="str">
        <f t="shared" ca="1" si="5"/>
        <v/>
      </c>
      <c r="T23" s="40" t="str">
        <f t="shared" ca="1" si="5"/>
        <v/>
      </c>
      <c r="U23" s="40" t="str">
        <f t="shared" ca="1" si="5"/>
        <v/>
      </c>
      <c r="V23" s="40" t="str">
        <f t="shared" ca="1" si="5"/>
        <v/>
      </c>
      <c r="W23" s="40" t="str">
        <f t="shared" ca="1" si="5"/>
        <v/>
      </c>
      <c r="X23" s="40" t="str">
        <f t="shared" ca="1" si="5"/>
        <v/>
      </c>
      <c r="Y23" s="40" t="str">
        <f t="shared" ca="1" si="5"/>
        <v/>
      </c>
      <c r="Z23" s="40" t="str">
        <f t="shared" ca="1" si="8"/>
        <v/>
      </c>
      <c r="AA23" s="40" t="str">
        <f t="shared" ca="1" si="8"/>
        <v/>
      </c>
      <c r="AB23" s="40" t="str">
        <f t="shared" ca="1" si="8"/>
        <v/>
      </c>
      <c r="AC23" s="40" t="str">
        <f t="shared" ca="1" si="8"/>
        <v/>
      </c>
      <c r="AD23" s="40" t="str">
        <f t="shared" ca="1" si="8"/>
        <v/>
      </c>
      <c r="AE23" s="40" t="str">
        <f t="shared" ca="1" si="8"/>
        <v/>
      </c>
      <c r="AF23" s="40" t="str">
        <f t="shared" ca="1" si="8"/>
        <v/>
      </c>
      <c r="AG23" s="40" t="str">
        <f t="shared" ca="1" si="8"/>
        <v/>
      </c>
      <c r="AH23" s="40" t="str">
        <f t="shared" ca="1" si="8"/>
        <v/>
      </c>
      <c r="AI23" s="40" t="str">
        <f t="shared" ca="1" si="8"/>
        <v/>
      </c>
      <c r="AJ23" s="40" t="str">
        <f t="shared" ca="1" si="8"/>
        <v/>
      </c>
      <c r="AK23" s="40" t="str">
        <f t="shared" ca="1" si="8"/>
        <v/>
      </c>
      <c r="AL23" s="40" t="str">
        <f t="shared" ca="1" si="8"/>
        <v/>
      </c>
      <c r="AM23" s="40" t="str">
        <f t="shared" ca="1" si="8"/>
        <v/>
      </c>
      <c r="AN23" s="40" t="str">
        <f t="shared" ca="1" si="8"/>
        <v/>
      </c>
      <c r="AO23" s="40" t="str">
        <f t="shared" ca="1" si="8"/>
        <v/>
      </c>
      <c r="AP23" s="40" t="str">
        <f t="shared" ca="1" si="9"/>
        <v/>
      </c>
      <c r="AQ23" s="40" t="str">
        <f t="shared" ca="1" si="9"/>
        <v/>
      </c>
      <c r="AR23" s="40" t="str">
        <f t="shared" ca="1" si="9"/>
        <v/>
      </c>
      <c r="AS23" s="40" t="str">
        <f t="shared" ca="1" si="9"/>
        <v/>
      </c>
      <c r="AT23" s="40" t="str">
        <f t="shared" ca="1" si="9"/>
        <v/>
      </c>
      <c r="AU23" s="40" t="str">
        <f t="shared" ca="1" si="9"/>
        <v/>
      </c>
      <c r="AV23" s="40" t="str">
        <f t="shared" ca="1" si="9"/>
        <v/>
      </c>
      <c r="AW23" s="40" t="str">
        <f t="shared" ca="1" si="9"/>
        <v/>
      </c>
      <c r="AX23" s="40" t="str">
        <f t="shared" ca="1" si="9"/>
        <v/>
      </c>
      <c r="AY23" s="40" t="str">
        <f t="shared" ca="1" si="9"/>
        <v/>
      </c>
      <c r="AZ23" s="40" t="str">
        <f t="shared" ca="1" si="9"/>
        <v/>
      </c>
      <c r="BA23" s="40" t="str">
        <f t="shared" ca="1" si="9"/>
        <v/>
      </c>
      <c r="BB23" s="40" t="str">
        <f t="shared" ca="1" si="9"/>
        <v/>
      </c>
      <c r="BC23" s="40" t="str">
        <f t="shared" ca="1" si="9"/>
        <v/>
      </c>
      <c r="BD23" s="40" t="str">
        <f t="shared" ca="1" si="9"/>
        <v/>
      </c>
      <c r="BE23" s="40" t="str">
        <f t="shared" ca="1" si="9"/>
        <v/>
      </c>
      <c r="BF23" s="40" t="str">
        <f t="shared" ca="1" si="6"/>
        <v/>
      </c>
      <c r="BG23" s="40" t="str">
        <f t="shared" ca="1" si="6"/>
        <v/>
      </c>
      <c r="BH23" s="40" t="str">
        <f t="shared" ca="1" si="6"/>
        <v/>
      </c>
      <c r="BI23" s="40" t="str">
        <f t="shared" ca="1" si="6"/>
        <v/>
      </c>
      <c r="BJ23" s="40" t="str">
        <f t="shared" ca="1" si="7"/>
        <v/>
      </c>
      <c r="BK23" s="40" t="str">
        <f t="shared" ca="1" si="7"/>
        <v/>
      </c>
      <c r="BL23" s="40" t="str">
        <f t="shared" ca="1" si="7"/>
        <v/>
      </c>
      <c r="BM23" s="40" t="str">
        <f t="shared" ca="1" si="7"/>
        <v/>
      </c>
      <c r="BN23" s="24"/>
    </row>
    <row r="24" spans="1:66" s="1" customFormat="1" ht="40.15" customHeight="1" x14ac:dyDescent="0.25">
      <c r="A24" s="9"/>
      <c r="B24" s="19" t="s">
        <v>71</v>
      </c>
      <c r="C24" s="22" t="s">
        <v>46</v>
      </c>
      <c r="D24" s="19" t="s">
        <v>25</v>
      </c>
      <c r="E24" s="19" t="s">
        <v>54</v>
      </c>
      <c r="F24" s="19" t="s">
        <v>70</v>
      </c>
      <c r="G24" s="20">
        <f>IF(Milestones435[[#This Row],[Tipo]]="",G23,IF(Milestones435[[#This Row],[Tipo]]="Paralela",WORKDAY(VLOOKUP(F24,Milestones435[],6,FALSE),0),WORKDAY(VLOOKUP(F24,Milestones435[],6,FALSE),VLOOKUP(F24,Milestones435[],7,FALSE))))</f>
        <v>46192</v>
      </c>
      <c r="H24" s="21">
        <v>1</v>
      </c>
      <c r="I24" s="17"/>
      <c r="J24" s="40" t="str">
        <f t="shared" ca="1" si="5"/>
        <v/>
      </c>
      <c r="K24" s="40" t="str">
        <f t="shared" ca="1" si="5"/>
        <v/>
      </c>
      <c r="L24" s="40" t="str">
        <f t="shared" ca="1" si="5"/>
        <v/>
      </c>
      <c r="M24" s="40" t="str">
        <f t="shared" ca="1" si="5"/>
        <v/>
      </c>
      <c r="N24" s="40" t="str">
        <f t="shared" ca="1" si="5"/>
        <v/>
      </c>
      <c r="O24" s="40" t="str">
        <f t="shared" ca="1" si="5"/>
        <v/>
      </c>
      <c r="P24" s="40" t="str">
        <f t="shared" ca="1" si="5"/>
        <v/>
      </c>
      <c r="Q24" s="40" t="str">
        <f t="shared" ca="1" si="5"/>
        <v/>
      </c>
      <c r="R24" s="40" t="str">
        <f t="shared" ca="1" si="5"/>
        <v/>
      </c>
      <c r="S24" s="40" t="str">
        <f t="shared" ca="1" si="5"/>
        <v/>
      </c>
      <c r="T24" s="40" t="str">
        <f t="shared" ca="1" si="5"/>
        <v/>
      </c>
      <c r="U24" s="40" t="str">
        <f t="shared" ca="1" si="5"/>
        <v/>
      </c>
      <c r="V24" s="40" t="str">
        <f t="shared" ca="1" si="5"/>
        <v/>
      </c>
      <c r="W24" s="40" t="str">
        <f t="shared" ca="1" si="5"/>
        <v/>
      </c>
      <c r="X24" s="40" t="str">
        <f t="shared" ca="1" si="5"/>
        <v/>
      </c>
      <c r="Y24" s="40" t="str">
        <f t="shared" ca="1" si="5"/>
        <v/>
      </c>
      <c r="Z24" s="40" t="str">
        <f t="shared" ca="1" si="8"/>
        <v/>
      </c>
      <c r="AA24" s="40" t="str">
        <f t="shared" ca="1" si="8"/>
        <v/>
      </c>
      <c r="AB24" s="40" t="str">
        <f t="shared" ca="1" si="8"/>
        <v/>
      </c>
      <c r="AC24" s="40" t="str">
        <f t="shared" ca="1" si="8"/>
        <v/>
      </c>
      <c r="AD24" s="40" t="str">
        <f t="shared" ca="1" si="8"/>
        <v/>
      </c>
      <c r="AE24" s="40" t="str">
        <f t="shared" ca="1" si="8"/>
        <v/>
      </c>
      <c r="AF24" s="40" t="str">
        <f t="shared" ca="1" si="8"/>
        <v/>
      </c>
      <c r="AG24" s="40" t="str">
        <f t="shared" ca="1" si="8"/>
        <v/>
      </c>
      <c r="AH24" s="40" t="str">
        <f t="shared" ca="1" si="8"/>
        <v/>
      </c>
      <c r="AI24" s="40" t="str">
        <f t="shared" ca="1" si="8"/>
        <v/>
      </c>
      <c r="AJ24" s="40" t="str">
        <f t="shared" ca="1" si="8"/>
        <v/>
      </c>
      <c r="AK24" s="40" t="str">
        <f t="shared" ca="1" si="8"/>
        <v/>
      </c>
      <c r="AL24" s="40" t="str">
        <f t="shared" ca="1" si="8"/>
        <v/>
      </c>
      <c r="AM24" s="40" t="str">
        <f t="shared" ca="1" si="8"/>
        <v/>
      </c>
      <c r="AN24" s="40" t="str">
        <f t="shared" ca="1" si="8"/>
        <v/>
      </c>
      <c r="AO24" s="40" t="str">
        <f t="shared" ca="1" si="8"/>
        <v/>
      </c>
      <c r="AP24" s="40" t="str">
        <f t="shared" ca="1" si="9"/>
        <v/>
      </c>
      <c r="AQ24" s="40" t="str">
        <f t="shared" ca="1" si="9"/>
        <v/>
      </c>
      <c r="AR24" s="40" t="str">
        <f t="shared" ca="1" si="9"/>
        <v/>
      </c>
      <c r="AS24" s="40" t="str">
        <f t="shared" ca="1" si="9"/>
        <v/>
      </c>
      <c r="AT24" s="40" t="str">
        <f t="shared" ca="1" si="6"/>
        <v/>
      </c>
      <c r="AU24" s="40" t="str">
        <f t="shared" ca="1" si="6"/>
        <v/>
      </c>
      <c r="AV24" s="40" t="str">
        <f t="shared" ca="1" si="6"/>
        <v/>
      </c>
      <c r="AW24" s="40" t="str">
        <f t="shared" ca="1" si="6"/>
        <v/>
      </c>
      <c r="AX24" s="40" t="str">
        <f t="shared" ca="1" si="6"/>
        <v/>
      </c>
      <c r="AY24" s="40" t="str">
        <f t="shared" ca="1" si="6"/>
        <v/>
      </c>
      <c r="AZ24" s="40" t="str">
        <f t="shared" ca="1" si="6"/>
        <v/>
      </c>
      <c r="BA24" s="40" t="str">
        <f t="shared" ca="1" si="6"/>
        <v/>
      </c>
      <c r="BB24" s="40" t="str">
        <f t="shared" ca="1" si="6"/>
        <v/>
      </c>
      <c r="BC24" s="40" t="str">
        <f t="shared" ca="1" si="6"/>
        <v/>
      </c>
      <c r="BD24" s="40" t="str">
        <f t="shared" ca="1" si="6"/>
        <v/>
      </c>
      <c r="BE24" s="40" t="str">
        <f t="shared" ca="1" si="6"/>
        <v/>
      </c>
      <c r="BF24" s="40" t="str">
        <f t="shared" ca="1" si="6"/>
        <v/>
      </c>
      <c r="BG24" s="40" t="str">
        <f t="shared" ca="1" si="6"/>
        <v/>
      </c>
      <c r="BH24" s="40" t="str">
        <f t="shared" ca="1" si="6"/>
        <v/>
      </c>
      <c r="BI24" s="40" t="str">
        <f t="shared" ca="1" si="6"/>
        <v/>
      </c>
      <c r="BJ24" s="40" t="str">
        <f t="shared" ca="1" si="7"/>
        <v/>
      </c>
      <c r="BK24" s="40" t="str">
        <f t="shared" ca="1" si="7"/>
        <v/>
      </c>
      <c r="BL24" s="40" t="str">
        <f t="shared" ca="1" si="7"/>
        <v/>
      </c>
      <c r="BM24" s="40" t="str">
        <f t="shared" ca="1" si="7"/>
        <v/>
      </c>
      <c r="BN24" s="24"/>
    </row>
    <row r="25" spans="1:66" s="1" customFormat="1" ht="40.15" customHeight="1" x14ac:dyDescent="0.25">
      <c r="A25" s="9"/>
      <c r="B25" s="19" t="s">
        <v>72</v>
      </c>
      <c r="C25" s="22" t="s">
        <v>47</v>
      </c>
      <c r="D25" s="19" t="s">
        <v>25</v>
      </c>
      <c r="E25" s="19" t="s">
        <v>54</v>
      </c>
      <c r="F25" s="19" t="s">
        <v>71</v>
      </c>
      <c r="G25" s="20">
        <f>IF(Milestones435[[#This Row],[Tipo]]="",G24,IF(Milestones435[[#This Row],[Tipo]]="Paralela",WORKDAY(VLOOKUP(F25,Milestones435[],6,FALSE),0),WORKDAY(VLOOKUP(F25,Milestones435[],6,FALSE),VLOOKUP(F25,Milestones435[],7,FALSE))))</f>
        <v>46192</v>
      </c>
      <c r="H25" s="21">
        <v>1</v>
      </c>
      <c r="I25" s="17"/>
      <c r="J25" s="40" t="str">
        <f t="shared" ca="1" si="5"/>
        <v/>
      </c>
      <c r="K25" s="40" t="str">
        <f t="shared" ca="1" si="5"/>
        <v/>
      </c>
      <c r="L25" s="40" t="str">
        <f t="shared" ca="1" si="5"/>
        <v/>
      </c>
      <c r="M25" s="40" t="str">
        <f t="shared" ca="1" si="5"/>
        <v/>
      </c>
      <c r="N25" s="40" t="str">
        <f t="shared" ca="1" si="5"/>
        <v/>
      </c>
      <c r="O25" s="40" t="str">
        <f t="shared" ca="1" si="5"/>
        <v/>
      </c>
      <c r="P25" s="40" t="str">
        <f t="shared" ca="1" si="5"/>
        <v/>
      </c>
      <c r="Q25" s="40" t="str">
        <f t="shared" ca="1" si="5"/>
        <v/>
      </c>
      <c r="R25" s="40" t="str">
        <f t="shared" ca="1" si="5"/>
        <v/>
      </c>
      <c r="S25" s="40" t="str">
        <f t="shared" ca="1" si="5"/>
        <v/>
      </c>
      <c r="T25" s="40" t="str">
        <f t="shared" ca="1" si="5"/>
        <v/>
      </c>
      <c r="U25" s="40" t="str">
        <f t="shared" ca="1" si="5"/>
        <v/>
      </c>
      <c r="V25" s="40" t="str">
        <f t="shared" ca="1" si="5"/>
        <v/>
      </c>
      <c r="W25" s="40" t="str">
        <f t="shared" ca="1" si="5"/>
        <v/>
      </c>
      <c r="X25" s="40" t="str">
        <f t="shared" ca="1" si="5"/>
        <v/>
      </c>
      <c r="Y25" s="40" t="str">
        <f t="shared" ca="1" si="5"/>
        <v/>
      </c>
      <c r="Z25" s="40" t="str">
        <f t="shared" ca="1" si="8"/>
        <v/>
      </c>
      <c r="AA25" s="40" t="str">
        <f t="shared" ca="1" si="8"/>
        <v/>
      </c>
      <c r="AB25" s="40" t="str">
        <f t="shared" ca="1" si="8"/>
        <v/>
      </c>
      <c r="AC25" s="40" t="str">
        <f t="shared" ca="1" si="8"/>
        <v/>
      </c>
      <c r="AD25" s="40" t="str">
        <f t="shared" ca="1" si="8"/>
        <v/>
      </c>
      <c r="AE25" s="40" t="str">
        <f t="shared" ca="1" si="8"/>
        <v/>
      </c>
      <c r="AF25" s="40" t="str">
        <f t="shared" ca="1" si="8"/>
        <v/>
      </c>
      <c r="AG25" s="40" t="str">
        <f t="shared" ca="1" si="8"/>
        <v/>
      </c>
      <c r="AH25" s="40" t="str">
        <f t="shared" ca="1" si="8"/>
        <v/>
      </c>
      <c r="AI25" s="40" t="str">
        <f t="shared" ca="1" si="8"/>
        <v/>
      </c>
      <c r="AJ25" s="40" t="str">
        <f t="shared" ca="1" si="8"/>
        <v/>
      </c>
      <c r="AK25" s="40" t="str">
        <f t="shared" ca="1" si="8"/>
        <v/>
      </c>
      <c r="AL25" s="40" t="str">
        <f t="shared" ca="1" si="8"/>
        <v/>
      </c>
      <c r="AM25" s="40" t="str">
        <f t="shared" ca="1" si="8"/>
        <v/>
      </c>
      <c r="AN25" s="40" t="str">
        <f t="shared" ca="1" si="8"/>
        <v/>
      </c>
      <c r="AO25" s="40" t="str">
        <f t="shared" ca="1" si="8"/>
        <v/>
      </c>
      <c r="AP25" s="40" t="str">
        <f t="shared" ca="1" si="9"/>
        <v/>
      </c>
      <c r="AQ25" s="40" t="str">
        <f t="shared" ca="1" si="9"/>
        <v/>
      </c>
      <c r="AR25" s="40" t="str">
        <f t="shared" ca="1" si="9"/>
        <v/>
      </c>
      <c r="AS25" s="40" t="str">
        <f t="shared" ca="1" si="9"/>
        <v/>
      </c>
      <c r="AT25" s="40" t="str">
        <f t="shared" ca="1" si="9"/>
        <v/>
      </c>
      <c r="AU25" s="40" t="str">
        <f t="shared" ca="1" si="9"/>
        <v/>
      </c>
      <c r="AV25" s="40" t="str">
        <f t="shared" ca="1" si="9"/>
        <v/>
      </c>
      <c r="AW25" s="40" t="str">
        <f t="shared" ca="1" si="9"/>
        <v/>
      </c>
      <c r="AX25" s="40" t="str">
        <f t="shared" ca="1" si="9"/>
        <v/>
      </c>
      <c r="AY25" s="40" t="str">
        <f t="shared" ca="1" si="9"/>
        <v/>
      </c>
      <c r="AZ25" s="40" t="str">
        <f t="shared" ca="1" si="9"/>
        <v/>
      </c>
      <c r="BA25" s="40" t="str">
        <f t="shared" ca="1" si="9"/>
        <v/>
      </c>
      <c r="BB25" s="40" t="str">
        <f t="shared" ca="1" si="9"/>
        <v/>
      </c>
      <c r="BC25" s="40" t="str">
        <f t="shared" ca="1" si="9"/>
        <v/>
      </c>
      <c r="BD25" s="40" t="str">
        <f t="shared" ca="1" si="9"/>
        <v/>
      </c>
      <c r="BE25" s="40" t="str">
        <f t="shared" ca="1" si="9"/>
        <v/>
      </c>
      <c r="BF25" s="40" t="str">
        <f t="shared" ca="1" si="6"/>
        <v/>
      </c>
      <c r="BG25" s="40" t="str">
        <f t="shared" ca="1" si="6"/>
        <v/>
      </c>
      <c r="BH25" s="40" t="str">
        <f t="shared" ca="1" si="6"/>
        <v/>
      </c>
      <c r="BI25" s="40" t="str">
        <f t="shared" ca="1" si="6"/>
        <v/>
      </c>
      <c r="BJ25" s="40" t="str">
        <f t="shared" ca="1" si="7"/>
        <v/>
      </c>
      <c r="BK25" s="40" t="str">
        <f t="shared" ca="1" si="7"/>
        <v/>
      </c>
      <c r="BL25" s="40" t="str">
        <f t="shared" ca="1" si="7"/>
        <v/>
      </c>
      <c r="BM25" s="40" t="str">
        <f t="shared" ca="1" si="7"/>
        <v/>
      </c>
      <c r="BN25" s="24"/>
    </row>
    <row r="26" spans="1:66" s="1" customFormat="1" ht="40.15" customHeight="1" x14ac:dyDescent="0.25">
      <c r="A26" s="9"/>
      <c r="B26" s="19" t="s">
        <v>73</v>
      </c>
      <c r="C26" s="22" t="s">
        <v>48</v>
      </c>
      <c r="D26" s="19" t="s">
        <v>25</v>
      </c>
      <c r="E26" s="19" t="s">
        <v>54</v>
      </c>
      <c r="F26" s="19" t="s">
        <v>71</v>
      </c>
      <c r="G26" s="20">
        <f>IF(Milestones435[[#This Row],[Tipo]]="",G25,IF(Milestones435[[#This Row],[Tipo]]="Paralela",WORKDAY(VLOOKUP(F26,Milestones435[],6,FALSE),0),WORKDAY(VLOOKUP(F26,Milestones435[],6,FALSE),VLOOKUP(F26,Milestones435[],7,FALSE))))</f>
        <v>46192</v>
      </c>
      <c r="H26" s="21">
        <v>1</v>
      </c>
      <c r="I26" s="17"/>
      <c r="J26" s="40" t="str">
        <f t="shared" ca="1" si="5"/>
        <v/>
      </c>
      <c r="K26" s="40" t="str">
        <f t="shared" ca="1" si="5"/>
        <v/>
      </c>
      <c r="L26" s="40" t="str">
        <f t="shared" ca="1" si="5"/>
        <v/>
      </c>
      <c r="M26" s="40" t="str">
        <f t="shared" ca="1" si="5"/>
        <v/>
      </c>
      <c r="N26" s="40" t="str">
        <f t="shared" ca="1" si="5"/>
        <v/>
      </c>
      <c r="O26" s="40" t="str">
        <f t="shared" ca="1" si="5"/>
        <v/>
      </c>
      <c r="P26" s="40" t="str">
        <f t="shared" ca="1" si="5"/>
        <v/>
      </c>
      <c r="Q26" s="40" t="str">
        <f t="shared" ca="1" si="5"/>
        <v/>
      </c>
      <c r="R26" s="40" t="str">
        <f t="shared" ca="1" si="5"/>
        <v/>
      </c>
      <c r="S26" s="40" t="str">
        <f t="shared" ca="1" si="5"/>
        <v/>
      </c>
      <c r="T26" s="40" t="str">
        <f t="shared" ca="1" si="5"/>
        <v/>
      </c>
      <c r="U26" s="40" t="str">
        <f t="shared" ca="1" si="5"/>
        <v/>
      </c>
      <c r="V26" s="40" t="str">
        <f t="shared" ca="1" si="5"/>
        <v/>
      </c>
      <c r="W26" s="40" t="str">
        <f t="shared" ca="1" si="5"/>
        <v/>
      </c>
      <c r="X26" s="40" t="str">
        <f t="shared" ca="1" si="5"/>
        <v/>
      </c>
      <c r="Y26" s="40" t="str">
        <f t="shared" ca="1" si="5"/>
        <v/>
      </c>
      <c r="Z26" s="40" t="str">
        <f t="shared" ca="1" si="8"/>
        <v/>
      </c>
      <c r="AA26" s="40" t="str">
        <f t="shared" ca="1" si="8"/>
        <v/>
      </c>
      <c r="AB26" s="40" t="str">
        <f t="shared" ca="1" si="8"/>
        <v/>
      </c>
      <c r="AC26" s="40" t="str">
        <f t="shared" ca="1" si="8"/>
        <v/>
      </c>
      <c r="AD26" s="40" t="str">
        <f t="shared" ca="1" si="8"/>
        <v/>
      </c>
      <c r="AE26" s="40" t="str">
        <f t="shared" ca="1" si="8"/>
        <v/>
      </c>
      <c r="AF26" s="40" t="str">
        <f t="shared" ca="1" si="8"/>
        <v/>
      </c>
      <c r="AG26" s="40" t="str">
        <f t="shared" ca="1" si="8"/>
        <v/>
      </c>
      <c r="AH26" s="40" t="str">
        <f t="shared" ca="1" si="8"/>
        <v/>
      </c>
      <c r="AI26" s="40" t="str">
        <f t="shared" ca="1" si="8"/>
        <v/>
      </c>
      <c r="AJ26" s="40" t="str">
        <f t="shared" ca="1" si="8"/>
        <v/>
      </c>
      <c r="AK26" s="40" t="str">
        <f t="shared" ca="1" si="8"/>
        <v/>
      </c>
      <c r="AL26" s="40" t="str">
        <f t="shared" ca="1" si="8"/>
        <v/>
      </c>
      <c r="AM26" s="40" t="str">
        <f t="shared" ca="1" si="8"/>
        <v/>
      </c>
      <c r="AN26" s="40" t="str">
        <f t="shared" ca="1" si="8"/>
        <v/>
      </c>
      <c r="AO26" s="40" t="str">
        <f t="shared" ca="1" si="8"/>
        <v/>
      </c>
      <c r="AP26" s="40" t="str">
        <f t="shared" ca="1" si="9"/>
        <v/>
      </c>
      <c r="AQ26" s="40" t="str">
        <f t="shared" ca="1" si="9"/>
        <v/>
      </c>
      <c r="AR26" s="40" t="str">
        <f t="shared" ca="1" si="9"/>
        <v/>
      </c>
      <c r="AS26" s="40" t="str">
        <f t="shared" ca="1" si="9"/>
        <v/>
      </c>
      <c r="AT26" s="40" t="str">
        <f t="shared" ca="1" si="9"/>
        <v/>
      </c>
      <c r="AU26" s="40" t="str">
        <f t="shared" ca="1" si="9"/>
        <v/>
      </c>
      <c r="AV26" s="40" t="str">
        <f t="shared" ca="1" si="9"/>
        <v/>
      </c>
      <c r="AW26" s="40" t="str">
        <f t="shared" ca="1" si="9"/>
        <v/>
      </c>
      <c r="AX26" s="40" t="str">
        <f t="shared" ca="1" si="9"/>
        <v/>
      </c>
      <c r="AY26" s="40" t="str">
        <f t="shared" ca="1" si="9"/>
        <v/>
      </c>
      <c r="AZ26" s="40" t="str">
        <f t="shared" ca="1" si="9"/>
        <v/>
      </c>
      <c r="BA26" s="40" t="str">
        <f t="shared" ca="1" si="9"/>
        <v/>
      </c>
      <c r="BB26" s="40" t="str">
        <f t="shared" ca="1" si="9"/>
        <v/>
      </c>
      <c r="BC26" s="40" t="str">
        <f t="shared" ca="1" si="9"/>
        <v/>
      </c>
      <c r="BD26" s="40" t="str">
        <f t="shared" ca="1" si="9"/>
        <v/>
      </c>
      <c r="BE26" s="40" t="str">
        <f t="shared" ca="1" si="9"/>
        <v/>
      </c>
      <c r="BF26" s="40" t="str">
        <f t="shared" ca="1" si="6"/>
        <v/>
      </c>
      <c r="BG26" s="40" t="str">
        <f t="shared" ca="1" si="6"/>
        <v/>
      </c>
      <c r="BH26" s="40" t="str">
        <f t="shared" ca="1" si="6"/>
        <v/>
      </c>
      <c r="BI26" s="40" t="str">
        <f t="shared" ca="1" si="6"/>
        <v/>
      </c>
      <c r="BJ26" s="40" t="str">
        <f t="shared" ca="1" si="7"/>
        <v/>
      </c>
      <c r="BK26" s="40" t="str">
        <f t="shared" ca="1" si="7"/>
        <v/>
      </c>
      <c r="BL26" s="40" t="str">
        <f t="shared" ca="1" si="7"/>
        <v/>
      </c>
      <c r="BM26" s="40" t="str">
        <f t="shared" ca="1" si="7"/>
        <v/>
      </c>
      <c r="BN26" s="24"/>
    </row>
    <row r="27" spans="1:66" s="1" customFormat="1" ht="40.15" customHeight="1" x14ac:dyDescent="0.25">
      <c r="A27" s="9"/>
      <c r="B27" s="19" t="s">
        <v>74</v>
      </c>
      <c r="C27" s="22" t="s">
        <v>49</v>
      </c>
      <c r="D27" s="19" t="s">
        <v>20</v>
      </c>
      <c r="E27" s="19" t="s">
        <v>54</v>
      </c>
      <c r="F27" s="19" t="s">
        <v>71</v>
      </c>
      <c r="G27" s="20">
        <f>IF(Milestones435[[#This Row],[Tipo]]="",G26,IF(Milestones435[[#This Row],[Tipo]]="Paralela",WORKDAY(VLOOKUP(F27,Milestones435[],6,FALSE),0),WORKDAY(VLOOKUP(F27,Milestones435[],6,FALSE),VLOOKUP(F27,Milestones435[],7,FALSE))))</f>
        <v>46192</v>
      </c>
      <c r="H27" s="21">
        <v>4</v>
      </c>
      <c r="I27" s="17"/>
      <c r="J27" s="40" t="str">
        <f t="shared" ca="1" si="5"/>
        <v/>
      </c>
      <c r="K27" s="40" t="str">
        <f t="shared" ca="1" si="5"/>
        <v/>
      </c>
      <c r="L27" s="40" t="str">
        <f t="shared" ca="1" si="5"/>
        <v/>
      </c>
      <c r="M27" s="40" t="str">
        <f t="shared" ca="1" si="5"/>
        <v/>
      </c>
      <c r="N27" s="40" t="str">
        <f t="shared" ca="1" si="5"/>
        <v/>
      </c>
      <c r="O27" s="40" t="str">
        <f t="shared" ca="1" si="5"/>
        <v/>
      </c>
      <c r="P27" s="40" t="str">
        <f t="shared" ca="1" si="5"/>
        <v/>
      </c>
      <c r="Q27" s="40" t="str">
        <f t="shared" ca="1" si="5"/>
        <v/>
      </c>
      <c r="R27" s="40" t="str">
        <f t="shared" ca="1" si="5"/>
        <v/>
      </c>
      <c r="S27" s="40" t="str">
        <f t="shared" ca="1" si="5"/>
        <v/>
      </c>
      <c r="T27" s="40" t="str">
        <f t="shared" ca="1" si="5"/>
        <v/>
      </c>
      <c r="U27" s="40" t="str">
        <f t="shared" ca="1" si="5"/>
        <v/>
      </c>
      <c r="V27" s="40" t="str">
        <f t="shared" ca="1" si="5"/>
        <v/>
      </c>
      <c r="W27" s="40" t="str">
        <f t="shared" ca="1" si="5"/>
        <v/>
      </c>
      <c r="X27" s="40" t="str">
        <f t="shared" ca="1" si="5"/>
        <v/>
      </c>
      <c r="Y27" s="40" t="str">
        <f t="shared" ca="1" si="5"/>
        <v/>
      </c>
      <c r="Z27" s="40">
        <f t="shared" ca="1" si="8"/>
        <v>2</v>
      </c>
      <c r="AA27" s="40" t="str">
        <f t="shared" ca="1" si="8"/>
        <v/>
      </c>
      <c r="AB27" s="40" t="str">
        <f t="shared" ca="1" si="8"/>
        <v/>
      </c>
      <c r="AC27" s="40">
        <f t="shared" ca="1" si="8"/>
        <v>2</v>
      </c>
      <c r="AD27" s="40">
        <f t="shared" ca="1" si="8"/>
        <v>2</v>
      </c>
      <c r="AE27" s="40">
        <f t="shared" ca="1" si="8"/>
        <v>2</v>
      </c>
      <c r="AF27" s="40" t="str">
        <f t="shared" ca="1" si="8"/>
        <v/>
      </c>
      <c r="AG27" s="40" t="str">
        <f t="shared" ca="1" si="8"/>
        <v/>
      </c>
      <c r="AH27" s="40" t="str">
        <f t="shared" ca="1" si="8"/>
        <v/>
      </c>
      <c r="AI27" s="40" t="str">
        <f t="shared" ca="1" si="8"/>
        <v/>
      </c>
      <c r="AJ27" s="40" t="str">
        <f t="shared" ca="1" si="8"/>
        <v/>
      </c>
      <c r="AK27" s="40" t="str">
        <f t="shared" ca="1" si="8"/>
        <v/>
      </c>
      <c r="AL27" s="40" t="str">
        <f t="shared" ca="1" si="8"/>
        <v/>
      </c>
      <c r="AM27" s="40" t="str">
        <f t="shared" ca="1" si="8"/>
        <v/>
      </c>
      <c r="AN27" s="40" t="str">
        <f t="shared" ca="1" si="8"/>
        <v/>
      </c>
      <c r="AO27" s="40" t="str">
        <f t="shared" ca="1" si="8"/>
        <v/>
      </c>
      <c r="AP27" s="40" t="str">
        <f t="shared" ca="1" si="9"/>
        <v/>
      </c>
      <c r="AQ27" s="40" t="str">
        <f t="shared" ca="1" si="9"/>
        <v/>
      </c>
      <c r="AR27" s="40" t="str">
        <f t="shared" ca="1" si="9"/>
        <v/>
      </c>
      <c r="AS27" s="40" t="str">
        <f t="shared" ca="1" si="9"/>
        <v/>
      </c>
      <c r="AT27" s="40" t="str">
        <f t="shared" ca="1" si="9"/>
        <v/>
      </c>
      <c r="AU27" s="40" t="str">
        <f t="shared" ca="1" si="9"/>
        <v/>
      </c>
      <c r="AV27" s="40" t="str">
        <f t="shared" ca="1" si="9"/>
        <v/>
      </c>
      <c r="AW27" s="40" t="str">
        <f t="shared" ca="1" si="9"/>
        <v/>
      </c>
      <c r="AX27" s="40" t="str">
        <f t="shared" ca="1" si="9"/>
        <v/>
      </c>
      <c r="AY27" s="40" t="str">
        <f t="shared" ca="1" si="9"/>
        <v/>
      </c>
      <c r="AZ27" s="40" t="str">
        <f t="shared" ca="1" si="9"/>
        <v/>
      </c>
      <c r="BA27" s="40" t="str">
        <f t="shared" ca="1" si="9"/>
        <v/>
      </c>
      <c r="BB27" s="40" t="str">
        <f t="shared" ca="1" si="9"/>
        <v/>
      </c>
      <c r="BC27" s="40" t="str">
        <f t="shared" ca="1" si="9"/>
        <v/>
      </c>
      <c r="BD27" s="40" t="str">
        <f t="shared" ca="1" si="9"/>
        <v/>
      </c>
      <c r="BE27" s="40" t="str">
        <f t="shared" ca="1" si="9"/>
        <v/>
      </c>
      <c r="BF27" s="40" t="str">
        <f t="shared" ca="1" si="6"/>
        <v/>
      </c>
      <c r="BG27" s="40" t="str">
        <f t="shared" ca="1" si="6"/>
        <v/>
      </c>
      <c r="BH27" s="40" t="str">
        <f t="shared" ca="1" si="6"/>
        <v/>
      </c>
      <c r="BI27" s="40" t="str">
        <f t="shared" ca="1" si="6"/>
        <v/>
      </c>
      <c r="BJ27" s="40" t="str">
        <f t="shared" ca="1" si="7"/>
        <v/>
      </c>
      <c r="BK27" s="40" t="str">
        <f t="shared" ca="1" si="7"/>
        <v/>
      </c>
      <c r="BL27" s="40" t="str">
        <f t="shared" ca="1" si="7"/>
        <v/>
      </c>
      <c r="BM27" s="40" t="str">
        <f t="shared" ca="1" si="7"/>
        <v/>
      </c>
      <c r="BN27" s="24"/>
    </row>
    <row r="28" spans="1:66" s="1" customFormat="1" ht="40.15" customHeight="1" x14ac:dyDescent="0.25">
      <c r="A28" s="9"/>
      <c r="B28" s="19" t="s">
        <v>76</v>
      </c>
      <c r="C28" s="103" t="s">
        <v>75</v>
      </c>
      <c r="D28" s="19"/>
      <c r="E28" s="19" t="s">
        <v>53</v>
      </c>
      <c r="F28" s="19" t="s">
        <v>74</v>
      </c>
      <c r="G28" s="20">
        <f>IF(Milestones435[[#This Row],[Tipo]]="",G27,IF(Milestones435[[#This Row],[Tipo]]="Paralela",WORKDAY(VLOOKUP(F28,Milestones435[],6,FALSE),0),WORKDAY(VLOOKUP(F28,Milestones435[],6,FALSE),VLOOKUP(F28,Milestones435[],7,FALSE))))</f>
        <v>46198</v>
      </c>
      <c r="H28" s="21"/>
      <c r="I28" s="17"/>
      <c r="J28" s="40" t="str">
        <f t="shared" ref="J28:Y43" ca="1" si="10">IF(
    AND(
        J$7&gt;=$G28,
        J$7&lt;=WORKDAY($G28,$H28-1),
        WEEKDAY(J$7,2)&lt;=5
    ),
    _xlfn.SWITCH($D28,
        "Objetivo",2,
        "Marco",1,
        ""
    ),
    ""
)</f>
        <v/>
      </c>
      <c r="K28" s="40" t="str">
        <f t="shared" ca="1" si="10"/>
        <v/>
      </c>
      <c r="L28" s="40" t="str">
        <f t="shared" ca="1" si="10"/>
        <v/>
      </c>
      <c r="M28" s="40" t="str">
        <f t="shared" ca="1" si="10"/>
        <v/>
      </c>
      <c r="N28" s="40" t="str">
        <f t="shared" ca="1" si="10"/>
        <v/>
      </c>
      <c r="O28" s="40" t="str">
        <f t="shared" ca="1" si="10"/>
        <v/>
      </c>
      <c r="P28" s="40" t="str">
        <f t="shared" ca="1" si="10"/>
        <v/>
      </c>
      <c r="Q28" s="40" t="str">
        <f t="shared" ca="1" si="10"/>
        <v/>
      </c>
      <c r="R28" s="40" t="str">
        <f t="shared" ca="1" si="10"/>
        <v/>
      </c>
      <c r="S28" s="40" t="str">
        <f t="shared" ca="1" si="10"/>
        <v/>
      </c>
      <c r="T28" s="40" t="str">
        <f t="shared" ca="1" si="10"/>
        <v/>
      </c>
      <c r="U28" s="40" t="str">
        <f t="shared" ca="1" si="10"/>
        <v/>
      </c>
      <c r="V28" s="40" t="str">
        <f t="shared" ca="1" si="10"/>
        <v/>
      </c>
      <c r="W28" s="40" t="str">
        <f t="shared" ca="1" si="10"/>
        <v/>
      </c>
      <c r="X28" s="40" t="str">
        <f t="shared" ca="1" si="10"/>
        <v/>
      </c>
      <c r="Y28" s="40" t="str">
        <f t="shared" ca="1" si="10"/>
        <v/>
      </c>
      <c r="Z28" s="40" t="str">
        <f t="shared" ca="1" si="8"/>
        <v/>
      </c>
      <c r="AA28" s="40" t="str">
        <f t="shared" ca="1" si="8"/>
        <v/>
      </c>
      <c r="AB28" s="40" t="str">
        <f t="shared" ca="1" si="8"/>
        <v/>
      </c>
      <c r="AC28" s="40" t="str">
        <f t="shared" ca="1" si="8"/>
        <v/>
      </c>
      <c r="AD28" s="40" t="str">
        <f t="shared" ca="1" si="8"/>
        <v/>
      </c>
      <c r="AE28" s="40" t="str">
        <f t="shared" ca="1" si="8"/>
        <v/>
      </c>
      <c r="AF28" s="40" t="str">
        <f t="shared" ca="1" si="8"/>
        <v/>
      </c>
      <c r="AG28" s="40" t="str">
        <f t="shared" ca="1" si="8"/>
        <v/>
      </c>
      <c r="AH28" s="40" t="str">
        <f t="shared" ca="1" si="8"/>
        <v/>
      </c>
      <c r="AI28" s="40" t="str">
        <f t="shared" ca="1" si="8"/>
        <v/>
      </c>
      <c r="AJ28" s="40" t="str">
        <f t="shared" ca="1" si="8"/>
        <v/>
      </c>
      <c r="AK28" s="40" t="str">
        <f t="shared" ca="1" si="8"/>
        <v/>
      </c>
      <c r="AL28" s="40" t="str">
        <f t="shared" ca="1" si="8"/>
        <v/>
      </c>
      <c r="AM28" s="40" t="str">
        <f t="shared" ca="1" si="8"/>
        <v/>
      </c>
      <c r="AN28" s="40" t="str">
        <f t="shared" ca="1" si="8"/>
        <v/>
      </c>
      <c r="AO28" s="40" t="str">
        <f t="shared" ca="1" si="8"/>
        <v/>
      </c>
      <c r="AP28" s="40" t="str">
        <f t="shared" ca="1" si="9"/>
        <v/>
      </c>
      <c r="AQ28" s="40" t="str">
        <f t="shared" ca="1" si="9"/>
        <v/>
      </c>
      <c r="AR28" s="40" t="str">
        <f t="shared" ca="1" si="9"/>
        <v/>
      </c>
      <c r="AS28" s="40" t="str">
        <f t="shared" ca="1" si="9"/>
        <v/>
      </c>
      <c r="AT28" s="40" t="str">
        <f t="shared" ca="1" si="9"/>
        <v/>
      </c>
      <c r="AU28" s="40" t="str">
        <f t="shared" ca="1" si="9"/>
        <v/>
      </c>
      <c r="AV28" s="40" t="str">
        <f t="shared" ca="1" si="9"/>
        <v/>
      </c>
      <c r="AW28" s="40" t="str">
        <f t="shared" ca="1" si="9"/>
        <v/>
      </c>
      <c r="AX28" s="40" t="str">
        <f t="shared" ca="1" si="9"/>
        <v/>
      </c>
      <c r="AY28" s="40" t="str">
        <f t="shared" ca="1" si="9"/>
        <v/>
      </c>
      <c r="AZ28" s="40" t="str">
        <f t="shared" ca="1" si="9"/>
        <v/>
      </c>
      <c r="BA28" s="40" t="str">
        <f t="shared" ca="1" si="9"/>
        <v/>
      </c>
      <c r="BB28" s="40" t="str">
        <f t="shared" ca="1" si="9"/>
        <v/>
      </c>
      <c r="BC28" s="40" t="str">
        <f t="shared" ca="1" si="9"/>
        <v/>
      </c>
      <c r="BD28" s="40" t="str">
        <f t="shared" ca="1" si="9"/>
        <v/>
      </c>
      <c r="BE28" s="40" t="str">
        <f t="shared" ca="1" si="9"/>
        <v/>
      </c>
      <c r="BF28" s="40" t="str">
        <f t="shared" ca="1" si="6"/>
        <v/>
      </c>
      <c r="BG28" s="40" t="str">
        <f t="shared" ca="1" si="6"/>
        <v/>
      </c>
      <c r="BH28" s="40" t="str">
        <f t="shared" ca="1" si="6"/>
        <v/>
      </c>
      <c r="BI28" s="40" t="str">
        <f t="shared" ca="1" si="6"/>
        <v/>
      </c>
      <c r="BJ28" s="40" t="str">
        <f t="shared" ca="1" si="7"/>
        <v/>
      </c>
      <c r="BK28" s="40" t="str">
        <f t="shared" ca="1" si="7"/>
        <v/>
      </c>
      <c r="BL28" s="40" t="str">
        <f t="shared" ca="1" si="7"/>
        <v/>
      </c>
      <c r="BM28" s="40" t="str">
        <f t="shared" ca="1" si="7"/>
        <v/>
      </c>
      <c r="BN28" s="24"/>
    </row>
    <row r="29" spans="1:66" s="1" customFormat="1" ht="40.15" customHeight="1" x14ac:dyDescent="0.25">
      <c r="A29" s="9"/>
      <c r="B29" s="19" t="s">
        <v>78</v>
      </c>
      <c r="C29" s="22" t="s">
        <v>84</v>
      </c>
      <c r="D29" s="19" t="s">
        <v>25</v>
      </c>
      <c r="E29" s="19" t="s">
        <v>54</v>
      </c>
      <c r="F29" s="19" t="s">
        <v>76</v>
      </c>
      <c r="G29" s="20">
        <f>IF(Milestones435[[#This Row],[Tipo]]="",G28,IF(Milestones435[[#This Row],[Tipo]]="Paralela",WORKDAY(VLOOKUP(F29,Milestones435[],6,FALSE),0),WORKDAY(VLOOKUP(F29,Milestones435[],6,FALSE),VLOOKUP(F29,Milestones435[],7,FALSE))))</f>
        <v>46198</v>
      </c>
      <c r="H29" s="21">
        <v>2</v>
      </c>
      <c r="I29" s="17"/>
      <c r="J29" s="40" t="str">
        <f t="shared" ca="1" si="10"/>
        <v/>
      </c>
      <c r="K29" s="40" t="str">
        <f t="shared" ca="1" si="10"/>
        <v/>
      </c>
      <c r="L29" s="40" t="str">
        <f t="shared" ca="1" si="10"/>
        <v/>
      </c>
      <c r="M29" s="40" t="str">
        <f t="shared" ca="1" si="10"/>
        <v/>
      </c>
      <c r="N29" s="40" t="str">
        <f t="shared" ca="1" si="10"/>
        <v/>
      </c>
      <c r="O29" s="40" t="str">
        <f t="shared" ca="1" si="10"/>
        <v/>
      </c>
      <c r="P29" s="40" t="str">
        <f t="shared" ca="1" si="10"/>
        <v/>
      </c>
      <c r="Q29" s="40" t="str">
        <f t="shared" ca="1" si="10"/>
        <v/>
      </c>
      <c r="R29" s="40" t="str">
        <f t="shared" ca="1" si="10"/>
        <v/>
      </c>
      <c r="S29" s="40" t="str">
        <f t="shared" ca="1" si="10"/>
        <v/>
      </c>
      <c r="T29" s="40" t="str">
        <f t="shared" ca="1" si="10"/>
        <v/>
      </c>
      <c r="U29" s="40" t="str">
        <f t="shared" ca="1" si="10"/>
        <v/>
      </c>
      <c r="V29" s="40" t="str">
        <f t="shared" ca="1" si="10"/>
        <v/>
      </c>
      <c r="W29" s="40" t="str">
        <f t="shared" ca="1" si="10"/>
        <v/>
      </c>
      <c r="X29" s="40" t="str">
        <f t="shared" ca="1" si="10"/>
        <v/>
      </c>
      <c r="Y29" s="40" t="str">
        <f t="shared" ca="1" si="10"/>
        <v/>
      </c>
      <c r="Z29" s="40" t="str">
        <f t="shared" ca="1" si="8"/>
        <v/>
      </c>
      <c r="AA29" s="40" t="str">
        <f t="shared" ca="1" si="8"/>
        <v/>
      </c>
      <c r="AB29" s="40" t="str">
        <f t="shared" ca="1" si="8"/>
        <v/>
      </c>
      <c r="AC29" s="40" t="str">
        <f t="shared" ca="1" si="8"/>
        <v/>
      </c>
      <c r="AD29" s="40" t="str">
        <f t="shared" ca="1" si="8"/>
        <v/>
      </c>
      <c r="AE29" s="40" t="str">
        <f t="shared" ca="1" si="8"/>
        <v/>
      </c>
      <c r="AF29" s="40" t="str">
        <f t="shared" ca="1" si="8"/>
        <v/>
      </c>
      <c r="AG29" s="40" t="str">
        <f t="shared" ca="1" si="8"/>
        <v/>
      </c>
      <c r="AH29" s="40" t="str">
        <f t="shared" ca="1" si="8"/>
        <v/>
      </c>
      <c r="AI29" s="40" t="str">
        <f t="shared" ca="1" si="8"/>
        <v/>
      </c>
      <c r="AJ29" s="40" t="str">
        <f t="shared" ca="1" si="8"/>
        <v/>
      </c>
      <c r="AK29" s="40" t="str">
        <f t="shared" ca="1" si="8"/>
        <v/>
      </c>
      <c r="AL29" s="40" t="str">
        <f t="shared" ca="1" si="8"/>
        <v/>
      </c>
      <c r="AM29" s="40" t="str">
        <f t="shared" ca="1" si="8"/>
        <v/>
      </c>
      <c r="AN29" s="40" t="str">
        <f t="shared" ca="1" si="8"/>
        <v/>
      </c>
      <c r="AO29" s="40" t="str">
        <f t="shared" ca="1" si="8"/>
        <v/>
      </c>
      <c r="AP29" s="40" t="str">
        <f t="shared" ca="1" si="9"/>
        <v/>
      </c>
      <c r="AQ29" s="40" t="str">
        <f t="shared" ca="1" si="9"/>
        <v/>
      </c>
      <c r="AR29" s="40" t="str">
        <f t="shared" ca="1" si="9"/>
        <v/>
      </c>
      <c r="AS29" s="40" t="str">
        <f t="shared" ca="1" si="9"/>
        <v/>
      </c>
      <c r="AT29" s="40" t="str">
        <f t="shared" ca="1" si="9"/>
        <v/>
      </c>
      <c r="AU29" s="40" t="str">
        <f t="shared" ca="1" si="9"/>
        <v/>
      </c>
      <c r="AV29" s="40" t="str">
        <f t="shared" ca="1" si="9"/>
        <v/>
      </c>
      <c r="AW29" s="40" t="str">
        <f t="shared" ca="1" si="9"/>
        <v/>
      </c>
      <c r="AX29" s="40" t="str">
        <f t="shared" ca="1" si="9"/>
        <v/>
      </c>
      <c r="AY29" s="40" t="str">
        <f t="shared" ca="1" si="9"/>
        <v/>
      </c>
      <c r="AZ29" s="40" t="str">
        <f t="shared" ca="1" si="9"/>
        <v/>
      </c>
      <c r="BA29" s="40" t="str">
        <f t="shared" ca="1" si="9"/>
        <v/>
      </c>
      <c r="BB29" s="40" t="str">
        <f t="shared" ca="1" si="9"/>
        <v/>
      </c>
      <c r="BC29" s="40" t="str">
        <f t="shared" ca="1" si="9"/>
        <v/>
      </c>
      <c r="BD29" s="40" t="str">
        <f t="shared" ca="1" si="9"/>
        <v/>
      </c>
      <c r="BE29" s="40" t="str">
        <f t="shared" ca="1" si="9"/>
        <v/>
      </c>
      <c r="BF29" s="40" t="str">
        <f t="shared" ca="1" si="6"/>
        <v/>
      </c>
      <c r="BG29" s="40" t="str">
        <f t="shared" ca="1" si="6"/>
        <v/>
      </c>
      <c r="BH29" s="40" t="str">
        <f t="shared" ca="1" si="6"/>
        <v/>
      </c>
      <c r="BI29" s="40" t="str">
        <f t="shared" ca="1" si="6"/>
        <v/>
      </c>
      <c r="BJ29" s="40" t="str">
        <f t="shared" ca="1" si="7"/>
        <v/>
      </c>
      <c r="BK29" s="40" t="str">
        <f t="shared" ca="1" si="7"/>
        <v/>
      </c>
      <c r="BL29" s="40" t="str">
        <f t="shared" ca="1" si="7"/>
        <v/>
      </c>
      <c r="BM29" s="40" t="str">
        <f t="shared" ca="1" si="7"/>
        <v/>
      </c>
      <c r="BN29" s="24"/>
    </row>
    <row r="30" spans="1:66" s="1" customFormat="1" ht="40.15" customHeight="1" x14ac:dyDescent="0.25">
      <c r="A30" s="9"/>
      <c r="B30" s="19" t="s">
        <v>79</v>
      </c>
      <c r="C30" s="22" t="s">
        <v>80</v>
      </c>
      <c r="D30" s="19" t="s">
        <v>25</v>
      </c>
      <c r="E30" s="19" t="s">
        <v>54</v>
      </c>
      <c r="F30" s="19" t="s">
        <v>78</v>
      </c>
      <c r="G30" s="20">
        <f>IF(Milestones435[[#This Row],[Tipo]]="",G29,IF(Milestones435[[#This Row],[Tipo]]="Paralela",WORKDAY(VLOOKUP(F30,Milestones435[],6,FALSE),0),WORKDAY(VLOOKUP(F30,Milestones435[],6,FALSE),VLOOKUP(F30,Milestones435[],7,FALSE))))</f>
        <v>46198</v>
      </c>
      <c r="H30" s="21">
        <v>2</v>
      </c>
      <c r="I30" s="17"/>
      <c r="J30" s="40" t="str">
        <f t="shared" ca="1" si="10"/>
        <v/>
      </c>
      <c r="K30" s="40" t="str">
        <f t="shared" ca="1" si="10"/>
        <v/>
      </c>
      <c r="L30" s="40" t="str">
        <f t="shared" ca="1" si="10"/>
        <v/>
      </c>
      <c r="M30" s="40" t="str">
        <f t="shared" ca="1" si="10"/>
        <v/>
      </c>
      <c r="N30" s="40" t="str">
        <f t="shared" ca="1" si="10"/>
        <v/>
      </c>
      <c r="O30" s="40" t="str">
        <f t="shared" ca="1" si="10"/>
        <v/>
      </c>
      <c r="P30" s="40" t="str">
        <f t="shared" ca="1" si="10"/>
        <v/>
      </c>
      <c r="Q30" s="40" t="str">
        <f t="shared" ca="1" si="10"/>
        <v/>
      </c>
      <c r="R30" s="40" t="str">
        <f t="shared" ca="1" si="10"/>
        <v/>
      </c>
      <c r="S30" s="40" t="str">
        <f t="shared" ca="1" si="10"/>
        <v/>
      </c>
      <c r="T30" s="40" t="str">
        <f t="shared" ca="1" si="10"/>
        <v/>
      </c>
      <c r="U30" s="40" t="str">
        <f t="shared" ca="1" si="10"/>
        <v/>
      </c>
      <c r="V30" s="40" t="str">
        <f t="shared" ca="1" si="10"/>
        <v/>
      </c>
      <c r="W30" s="40" t="str">
        <f t="shared" ca="1" si="10"/>
        <v/>
      </c>
      <c r="X30" s="40" t="str">
        <f t="shared" ca="1" si="10"/>
        <v/>
      </c>
      <c r="Y30" s="40" t="str">
        <f t="shared" ca="1" si="10"/>
        <v/>
      </c>
      <c r="Z30" s="40" t="str">
        <f t="shared" ca="1" si="8"/>
        <v/>
      </c>
      <c r="AA30" s="40" t="str">
        <f t="shared" ca="1" si="8"/>
        <v/>
      </c>
      <c r="AB30" s="40" t="str">
        <f t="shared" ca="1" si="8"/>
        <v/>
      </c>
      <c r="AC30" s="40" t="str">
        <f t="shared" ca="1" si="8"/>
        <v/>
      </c>
      <c r="AD30" s="40" t="str">
        <f t="shared" ca="1" si="8"/>
        <v/>
      </c>
      <c r="AE30" s="40" t="str">
        <f t="shared" ca="1" si="8"/>
        <v/>
      </c>
      <c r="AF30" s="40" t="str">
        <f t="shared" ca="1" si="8"/>
        <v/>
      </c>
      <c r="AG30" s="40" t="str">
        <f t="shared" ca="1" si="8"/>
        <v/>
      </c>
      <c r="AH30" s="40" t="str">
        <f t="shared" ca="1" si="8"/>
        <v/>
      </c>
      <c r="AI30" s="40" t="str">
        <f t="shared" ca="1" si="8"/>
        <v/>
      </c>
      <c r="AJ30" s="40" t="str">
        <f t="shared" ca="1" si="8"/>
        <v/>
      </c>
      <c r="AK30" s="40" t="str">
        <f t="shared" ca="1" si="8"/>
        <v/>
      </c>
      <c r="AL30" s="40" t="str">
        <f t="shared" ca="1" si="8"/>
        <v/>
      </c>
      <c r="AM30" s="40" t="str">
        <f t="shared" ca="1" si="8"/>
        <v/>
      </c>
      <c r="AN30" s="40" t="str">
        <f t="shared" ca="1" si="8"/>
        <v/>
      </c>
      <c r="AO30" s="40" t="str">
        <f t="shared" ca="1" si="8"/>
        <v/>
      </c>
      <c r="AP30" s="40" t="str">
        <f t="shared" ca="1" si="9"/>
        <v/>
      </c>
      <c r="AQ30" s="40" t="str">
        <f t="shared" ca="1" si="9"/>
        <v/>
      </c>
      <c r="AR30" s="40" t="str">
        <f t="shared" ca="1" si="9"/>
        <v/>
      </c>
      <c r="AS30" s="40" t="str">
        <f t="shared" ca="1" si="9"/>
        <v/>
      </c>
      <c r="AT30" s="40" t="str">
        <f t="shared" ca="1" si="9"/>
        <v/>
      </c>
      <c r="AU30" s="40" t="str">
        <f t="shared" ca="1" si="9"/>
        <v/>
      </c>
      <c r="AV30" s="40" t="str">
        <f t="shared" ca="1" si="9"/>
        <v/>
      </c>
      <c r="AW30" s="40" t="str">
        <f t="shared" ca="1" si="9"/>
        <v/>
      </c>
      <c r="AX30" s="40" t="str">
        <f t="shared" ca="1" si="9"/>
        <v/>
      </c>
      <c r="AY30" s="40" t="str">
        <f t="shared" ca="1" si="9"/>
        <v/>
      </c>
      <c r="AZ30" s="40" t="str">
        <f t="shared" ca="1" si="9"/>
        <v/>
      </c>
      <c r="BA30" s="40" t="str">
        <f t="shared" ca="1" si="9"/>
        <v/>
      </c>
      <c r="BB30" s="40" t="str">
        <f t="shared" ca="1" si="9"/>
        <v/>
      </c>
      <c r="BC30" s="40" t="str">
        <f t="shared" ca="1" si="9"/>
        <v/>
      </c>
      <c r="BD30" s="40" t="str">
        <f t="shared" ca="1" si="9"/>
        <v/>
      </c>
      <c r="BE30" s="40" t="str">
        <f t="shared" ca="1" si="9"/>
        <v/>
      </c>
      <c r="BF30" s="40" t="str">
        <f t="shared" ca="1" si="6"/>
        <v/>
      </c>
      <c r="BG30" s="40" t="str">
        <f t="shared" ca="1" si="6"/>
        <v/>
      </c>
      <c r="BH30" s="40" t="str">
        <f t="shared" ca="1" si="6"/>
        <v/>
      </c>
      <c r="BI30" s="40" t="str">
        <f t="shared" ca="1" si="6"/>
        <v/>
      </c>
      <c r="BJ30" s="40" t="str">
        <f t="shared" ca="1" si="7"/>
        <v/>
      </c>
      <c r="BK30" s="40" t="str">
        <f t="shared" ca="1" si="7"/>
        <v/>
      </c>
      <c r="BL30" s="40" t="str">
        <f t="shared" ca="1" si="7"/>
        <v/>
      </c>
      <c r="BM30" s="40" t="str">
        <f t="shared" ca="1" si="7"/>
        <v/>
      </c>
      <c r="BN30" s="24"/>
    </row>
    <row r="31" spans="1:66" s="1" customFormat="1" ht="40.15" customHeight="1" x14ac:dyDescent="0.25">
      <c r="A31" s="9"/>
      <c r="B31" s="19" t="s">
        <v>81</v>
      </c>
      <c r="C31" s="22" t="s">
        <v>77</v>
      </c>
      <c r="D31" s="19" t="s">
        <v>25</v>
      </c>
      <c r="E31" s="19" t="s">
        <v>53</v>
      </c>
      <c r="F31" s="19" t="s">
        <v>79</v>
      </c>
      <c r="G31" s="20">
        <f>IF(Milestones435[[#This Row],[Tipo]]="",G30,IF(Milestones435[[#This Row],[Tipo]]="Paralela",WORKDAY(VLOOKUP(F31,Milestones435[],6,FALSE),0),WORKDAY(VLOOKUP(F31,Milestones435[],6,FALSE),VLOOKUP(F31,Milestones435[],7,FALSE))))</f>
        <v>46202</v>
      </c>
      <c r="H31" s="21">
        <v>2</v>
      </c>
      <c r="I31" s="17"/>
      <c r="J31" s="40" t="str">
        <f t="shared" ca="1" si="10"/>
        <v/>
      </c>
      <c r="K31" s="40" t="str">
        <f t="shared" ca="1" si="10"/>
        <v/>
      </c>
      <c r="L31" s="40" t="str">
        <f t="shared" ca="1" si="10"/>
        <v/>
      </c>
      <c r="M31" s="40" t="str">
        <f t="shared" ca="1" si="10"/>
        <v/>
      </c>
      <c r="N31" s="40" t="str">
        <f t="shared" ca="1" si="10"/>
        <v/>
      </c>
      <c r="O31" s="40" t="str">
        <f t="shared" ca="1" si="10"/>
        <v/>
      </c>
      <c r="P31" s="40" t="str">
        <f t="shared" ca="1" si="10"/>
        <v/>
      </c>
      <c r="Q31" s="40" t="str">
        <f t="shared" ca="1" si="10"/>
        <v/>
      </c>
      <c r="R31" s="40" t="str">
        <f t="shared" ca="1" si="10"/>
        <v/>
      </c>
      <c r="S31" s="40" t="str">
        <f t="shared" ca="1" si="10"/>
        <v/>
      </c>
      <c r="T31" s="40" t="str">
        <f t="shared" ca="1" si="10"/>
        <v/>
      </c>
      <c r="U31" s="40" t="str">
        <f t="shared" ca="1" si="10"/>
        <v/>
      </c>
      <c r="V31" s="40" t="str">
        <f t="shared" ca="1" si="10"/>
        <v/>
      </c>
      <c r="W31" s="40" t="str">
        <f t="shared" ca="1" si="10"/>
        <v/>
      </c>
      <c r="X31" s="40" t="str">
        <f t="shared" ca="1" si="10"/>
        <v/>
      </c>
      <c r="Y31" s="40" t="str">
        <f t="shared" ca="1" si="10"/>
        <v/>
      </c>
      <c r="Z31" s="40" t="str">
        <f t="shared" ca="1" si="8"/>
        <v/>
      </c>
      <c r="AA31" s="40" t="str">
        <f t="shared" ca="1" si="8"/>
        <v/>
      </c>
      <c r="AB31" s="40" t="str">
        <f t="shared" ca="1" si="8"/>
        <v/>
      </c>
      <c r="AC31" s="40" t="str">
        <f t="shared" ca="1" si="8"/>
        <v/>
      </c>
      <c r="AD31" s="40" t="str">
        <f t="shared" ca="1" si="8"/>
        <v/>
      </c>
      <c r="AE31" s="40" t="str">
        <f t="shared" ca="1" si="8"/>
        <v/>
      </c>
      <c r="AF31" s="40" t="str">
        <f t="shared" ca="1" si="8"/>
        <v/>
      </c>
      <c r="AG31" s="40" t="str">
        <f t="shared" ca="1" si="8"/>
        <v/>
      </c>
      <c r="AH31" s="40" t="str">
        <f t="shared" ca="1" si="8"/>
        <v/>
      </c>
      <c r="AI31" s="40" t="str">
        <f t="shared" ca="1" si="8"/>
        <v/>
      </c>
      <c r="AJ31" s="40" t="str">
        <f t="shared" ca="1" si="8"/>
        <v/>
      </c>
      <c r="AK31" s="40" t="str">
        <f t="shared" ca="1" si="8"/>
        <v/>
      </c>
      <c r="AL31" s="40" t="str">
        <f t="shared" ca="1" si="8"/>
        <v/>
      </c>
      <c r="AM31" s="40" t="str">
        <f t="shared" ca="1" si="8"/>
        <v/>
      </c>
      <c r="AN31" s="40" t="str">
        <f t="shared" ca="1" si="8"/>
        <v/>
      </c>
      <c r="AO31" s="40" t="str">
        <f t="shared" ref="AO31:BD46" ca="1" si="11">IF(
    AND(
        AO$7&gt;=$G31,
        AO$7&lt;=WORKDAY($G31,$H31-1),
        WEEKDAY(AO$7,2)&lt;=5
    ),
    _xlfn.SWITCH($D31,
        "Objetivo",2,
        "Marco",1,
        ""
    ),
    ""
)</f>
        <v/>
      </c>
      <c r="AP31" s="40" t="str">
        <f t="shared" ca="1" si="11"/>
        <v/>
      </c>
      <c r="AQ31" s="40" t="str">
        <f t="shared" ca="1" si="11"/>
        <v/>
      </c>
      <c r="AR31" s="40" t="str">
        <f t="shared" ca="1" si="11"/>
        <v/>
      </c>
      <c r="AS31" s="40" t="str">
        <f t="shared" ca="1" si="11"/>
        <v/>
      </c>
      <c r="AT31" s="40" t="str">
        <f t="shared" ca="1" si="11"/>
        <v/>
      </c>
      <c r="AU31" s="40" t="str">
        <f t="shared" ca="1" si="11"/>
        <v/>
      </c>
      <c r="AV31" s="40" t="str">
        <f t="shared" ca="1" si="11"/>
        <v/>
      </c>
      <c r="AW31" s="40" t="str">
        <f t="shared" ca="1" si="11"/>
        <v/>
      </c>
      <c r="AX31" s="40" t="str">
        <f t="shared" ca="1" si="11"/>
        <v/>
      </c>
      <c r="AY31" s="40" t="str">
        <f t="shared" ca="1" si="11"/>
        <v/>
      </c>
      <c r="AZ31" s="40" t="str">
        <f t="shared" ca="1" si="11"/>
        <v/>
      </c>
      <c r="BA31" s="40" t="str">
        <f t="shared" ca="1" si="11"/>
        <v/>
      </c>
      <c r="BB31" s="40" t="str">
        <f t="shared" ca="1" si="11"/>
        <v/>
      </c>
      <c r="BC31" s="40" t="str">
        <f t="shared" ca="1" si="11"/>
        <v/>
      </c>
      <c r="BD31" s="40" t="str">
        <f t="shared" ca="1" si="11"/>
        <v/>
      </c>
      <c r="BE31" s="40" t="str">
        <f t="shared" ca="1" si="9"/>
        <v/>
      </c>
      <c r="BF31" s="40" t="str">
        <f t="shared" ref="BF31:BM31" ca="1" si="12">IF(
    AND(
        BF$7&gt;=$G31,
        BF$7&lt;=WORKDAY($G31,$H31-1),
        WEEKDAY(BF$7,2)&lt;=5
    ),
    _xlfn.SWITCH($D31,
        "Objetivo",2,
        "Marco",1,
        ""
    ),
    ""
)</f>
        <v/>
      </c>
      <c r="BG31" s="40" t="str">
        <f t="shared" ca="1" si="12"/>
        <v/>
      </c>
      <c r="BH31" s="40" t="str">
        <f t="shared" ca="1" si="12"/>
        <v/>
      </c>
      <c r="BI31" s="40" t="str">
        <f t="shared" ca="1" si="12"/>
        <v/>
      </c>
      <c r="BJ31" s="40" t="str">
        <f t="shared" ca="1" si="12"/>
        <v/>
      </c>
      <c r="BK31" s="40" t="str">
        <f t="shared" ca="1" si="12"/>
        <v/>
      </c>
      <c r="BL31" s="40" t="str">
        <f t="shared" ca="1" si="12"/>
        <v/>
      </c>
      <c r="BM31" s="40" t="str">
        <f t="shared" ca="1" si="12"/>
        <v/>
      </c>
      <c r="BN31" s="24"/>
    </row>
    <row r="32" spans="1:66" s="1" customFormat="1" ht="40.15" customHeight="1" x14ac:dyDescent="0.25">
      <c r="A32" s="9"/>
      <c r="B32" s="19" t="s">
        <v>82</v>
      </c>
      <c r="C32" s="22" t="s">
        <v>85</v>
      </c>
      <c r="D32" s="19" t="s">
        <v>20</v>
      </c>
      <c r="E32" s="19" t="s">
        <v>54</v>
      </c>
      <c r="F32" s="19" t="s">
        <v>81</v>
      </c>
      <c r="G32" s="20">
        <f>IF(Milestones435[[#This Row],[Tipo]]="",G31,IF(Milestones435[[#This Row],[Tipo]]="Paralela",WORKDAY(VLOOKUP(F32,Milestones435[],6,FALSE),0),WORKDAY(VLOOKUP(F32,Milestones435[],6,FALSE),VLOOKUP(F32,Milestones435[],7,FALSE))))</f>
        <v>46202</v>
      </c>
      <c r="H32" s="21">
        <v>3</v>
      </c>
      <c r="I32" s="17"/>
      <c r="J32" s="40" t="str">
        <f t="shared" ca="1" si="10"/>
        <v/>
      </c>
      <c r="K32" s="40" t="str">
        <f t="shared" ca="1" si="10"/>
        <v/>
      </c>
      <c r="L32" s="40" t="str">
        <f t="shared" ca="1" si="10"/>
        <v/>
      </c>
      <c r="M32" s="40" t="str">
        <f t="shared" ca="1" si="10"/>
        <v/>
      </c>
      <c r="N32" s="40" t="str">
        <f t="shared" ca="1" si="10"/>
        <v/>
      </c>
      <c r="O32" s="40" t="str">
        <f t="shared" ca="1" si="10"/>
        <v/>
      </c>
      <c r="P32" s="40" t="str">
        <f t="shared" ca="1" si="10"/>
        <v/>
      </c>
      <c r="Q32" s="40" t="str">
        <f t="shared" ca="1" si="10"/>
        <v/>
      </c>
      <c r="R32" s="40" t="str">
        <f t="shared" ca="1" si="10"/>
        <v/>
      </c>
      <c r="S32" s="40" t="str">
        <f t="shared" ca="1" si="10"/>
        <v/>
      </c>
      <c r="T32" s="40" t="str">
        <f t="shared" ca="1" si="10"/>
        <v/>
      </c>
      <c r="U32" s="40" t="str">
        <f t="shared" ca="1" si="10"/>
        <v/>
      </c>
      <c r="V32" s="40" t="str">
        <f t="shared" ca="1" si="10"/>
        <v/>
      </c>
      <c r="W32" s="40" t="str">
        <f t="shared" ca="1" si="10"/>
        <v/>
      </c>
      <c r="X32" s="40" t="str">
        <f t="shared" ca="1" si="10"/>
        <v/>
      </c>
      <c r="Y32" s="40" t="str">
        <f t="shared" ca="1" si="10"/>
        <v/>
      </c>
      <c r="Z32" s="40" t="str">
        <f t="shared" ref="Z32:AO46" ca="1" si="13">IF(
    AND(
        Z$7&gt;=$G32,
        Z$7&lt;=WORKDAY($G32,$H32-1),
        WEEKDAY(Z$7,2)&lt;=5
    ),
    _xlfn.SWITCH($D32,
        "Objetivo",2,
        "Marco",1,
        ""
    ),
    ""
)</f>
        <v/>
      </c>
      <c r="AA32" s="40" t="str">
        <f t="shared" ca="1" si="13"/>
        <v/>
      </c>
      <c r="AB32" s="40" t="str">
        <f t="shared" ca="1" si="13"/>
        <v/>
      </c>
      <c r="AC32" s="40" t="str">
        <f t="shared" ca="1" si="13"/>
        <v/>
      </c>
      <c r="AD32" s="40" t="str">
        <f t="shared" ca="1" si="13"/>
        <v/>
      </c>
      <c r="AE32" s="40" t="str">
        <f t="shared" ca="1" si="13"/>
        <v/>
      </c>
      <c r="AF32" s="40" t="str">
        <f t="shared" ca="1" si="13"/>
        <v/>
      </c>
      <c r="AG32" s="40" t="str">
        <f t="shared" ca="1" si="13"/>
        <v/>
      </c>
      <c r="AH32" s="40" t="str">
        <f t="shared" ca="1" si="13"/>
        <v/>
      </c>
      <c r="AI32" s="40" t="str">
        <f t="shared" ca="1" si="13"/>
        <v/>
      </c>
      <c r="AJ32" s="40">
        <f t="shared" ca="1" si="13"/>
        <v>2</v>
      </c>
      <c r="AK32" s="40">
        <f t="shared" ca="1" si="13"/>
        <v>2</v>
      </c>
      <c r="AL32" s="40">
        <f t="shared" ca="1" si="13"/>
        <v>2</v>
      </c>
      <c r="AM32" s="40" t="str">
        <f t="shared" ca="1" si="13"/>
        <v/>
      </c>
      <c r="AN32" s="40" t="str">
        <f t="shared" ca="1" si="13"/>
        <v/>
      </c>
      <c r="AO32" s="40" t="str">
        <f t="shared" ca="1" si="13"/>
        <v/>
      </c>
      <c r="AP32" s="40" t="str">
        <f t="shared" ca="1" si="11"/>
        <v/>
      </c>
      <c r="AQ32" s="40" t="str">
        <f t="shared" ca="1" si="11"/>
        <v/>
      </c>
      <c r="AR32" s="40" t="str">
        <f t="shared" ca="1" si="11"/>
        <v/>
      </c>
      <c r="AS32" s="40" t="str">
        <f t="shared" ca="1" si="11"/>
        <v/>
      </c>
      <c r="AT32" s="40" t="str">
        <f t="shared" ca="1" si="11"/>
        <v/>
      </c>
      <c r="AU32" s="40" t="str">
        <f t="shared" ca="1" si="11"/>
        <v/>
      </c>
      <c r="AV32" s="40" t="str">
        <f t="shared" ca="1" si="11"/>
        <v/>
      </c>
      <c r="AW32" s="40" t="str">
        <f t="shared" ca="1" si="11"/>
        <v/>
      </c>
      <c r="AX32" s="40" t="str">
        <f t="shared" ca="1" si="11"/>
        <v/>
      </c>
      <c r="AY32" s="40" t="str">
        <f t="shared" ca="1" si="11"/>
        <v/>
      </c>
      <c r="AZ32" s="40" t="str">
        <f t="shared" ca="1" si="11"/>
        <v/>
      </c>
      <c r="BA32" s="40" t="str">
        <f t="shared" ca="1" si="11"/>
        <v/>
      </c>
      <c r="BB32" s="40" t="str">
        <f t="shared" ca="1" si="11"/>
        <v/>
      </c>
      <c r="BC32" s="40" t="str">
        <f t="shared" ca="1" si="11"/>
        <v/>
      </c>
      <c r="BD32" s="40" t="str">
        <f t="shared" ca="1" si="11"/>
        <v/>
      </c>
      <c r="BE32" s="40" t="str">
        <f t="shared" ref="BE32:BM50" ca="1" si="14">IF(
    AND(
        BE$7&gt;=$G32,
        BE$7&lt;=WORKDAY($G32,$H32-1),
        WEEKDAY(BE$7,2)&lt;=5
    ),
    _xlfn.SWITCH($D32,
        "Objetivo",2,
        "Marco",1,
        ""
    ),
    ""
)</f>
        <v/>
      </c>
      <c r="BF32" s="40" t="str">
        <f t="shared" ca="1" si="14"/>
        <v/>
      </c>
      <c r="BG32" s="40" t="str">
        <f t="shared" ca="1" si="14"/>
        <v/>
      </c>
      <c r="BH32" s="40" t="str">
        <f t="shared" ca="1" si="14"/>
        <v/>
      </c>
      <c r="BI32" s="40" t="str">
        <f t="shared" ca="1" si="14"/>
        <v/>
      </c>
      <c r="BJ32" s="40" t="str">
        <f t="shared" ca="1" si="14"/>
        <v/>
      </c>
      <c r="BK32" s="40" t="str">
        <f t="shared" ca="1" si="14"/>
        <v/>
      </c>
      <c r="BL32" s="40" t="str">
        <f t="shared" ca="1" si="14"/>
        <v/>
      </c>
      <c r="BM32" s="40" t="str">
        <f t="shared" ca="1" si="14"/>
        <v/>
      </c>
      <c r="BN32" s="24"/>
    </row>
    <row r="33" spans="1:66" s="1" customFormat="1" ht="40.15" customHeight="1" x14ac:dyDescent="0.25">
      <c r="A33" s="9"/>
      <c r="B33" s="19" t="s">
        <v>83</v>
      </c>
      <c r="C33" s="22" t="s">
        <v>86</v>
      </c>
      <c r="D33" s="19" t="s">
        <v>25</v>
      </c>
      <c r="E33" s="19" t="s">
        <v>53</v>
      </c>
      <c r="F33" s="19" t="s">
        <v>82</v>
      </c>
      <c r="G33" s="20">
        <f>IF(Milestones435[[#This Row],[Tipo]]="",G31,IF(Milestones435[[#This Row],[Tipo]]="Paralela",WORKDAY(VLOOKUP(F33,Milestones435[],6,FALSE),0),WORKDAY(VLOOKUP(F33,Milestones435[],6,FALSE),VLOOKUP(F33,Milestones435[],7,FALSE))))</f>
        <v>46205</v>
      </c>
      <c r="H33" s="21">
        <v>1</v>
      </c>
      <c r="I33" s="17"/>
      <c r="J33" s="40" t="str">
        <f t="shared" ca="1" si="10"/>
        <v/>
      </c>
      <c r="K33" s="40" t="str">
        <f t="shared" ca="1" si="10"/>
        <v/>
      </c>
      <c r="L33" s="40" t="str">
        <f t="shared" ca="1" si="10"/>
        <v/>
      </c>
      <c r="M33" s="40" t="str">
        <f t="shared" ca="1" si="10"/>
        <v/>
      </c>
      <c r="N33" s="40" t="str">
        <f t="shared" ca="1" si="10"/>
        <v/>
      </c>
      <c r="O33" s="40" t="str">
        <f t="shared" ca="1" si="10"/>
        <v/>
      </c>
      <c r="P33" s="40" t="str">
        <f t="shared" ca="1" si="10"/>
        <v/>
      </c>
      <c r="Q33" s="40" t="str">
        <f t="shared" ca="1" si="10"/>
        <v/>
      </c>
      <c r="R33" s="40" t="str">
        <f t="shared" ca="1" si="10"/>
        <v/>
      </c>
      <c r="S33" s="40" t="str">
        <f t="shared" ca="1" si="10"/>
        <v/>
      </c>
      <c r="T33" s="40" t="str">
        <f t="shared" ca="1" si="10"/>
        <v/>
      </c>
      <c r="U33" s="40" t="str">
        <f t="shared" ca="1" si="10"/>
        <v/>
      </c>
      <c r="V33" s="40" t="str">
        <f t="shared" ca="1" si="10"/>
        <v/>
      </c>
      <c r="W33" s="40" t="str">
        <f t="shared" ca="1" si="10"/>
        <v/>
      </c>
      <c r="X33" s="40" t="str">
        <f t="shared" ca="1" si="10"/>
        <v/>
      </c>
      <c r="Y33" s="40" t="str">
        <f t="shared" ca="1" si="10"/>
        <v/>
      </c>
      <c r="Z33" s="40" t="str">
        <f t="shared" ca="1" si="13"/>
        <v/>
      </c>
      <c r="AA33" s="40" t="str">
        <f t="shared" ca="1" si="13"/>
        <v/>
      </c>
      <c r="AB33" s="40" t="str">
        <f t="shared" ca="1" si="13"/>
        <v/>
      </c>
      <c r="AC33" s="40" t="str">
        <f t="shared" ca="1" si="13"/>
        <v/>
      </c>
      <c r="AD33" s="40" t="str">
        <f t="shared" ca="1" si="13"/>
        <v/>
      </c>
      <c r="AE33" s="40" t="str">
        <f t="shared" ca="1" si="13"/>
        <v/>
      </c>
      <c r="AF33" s="40" t="str">
        <f t="shared" ca="1" si="13"/>
        <v/>
      </c>
      <c r="AG33" s="40" t="str">
        <f t="shared" ca="1" si="13"/>
        <v/>
      </c>
      <c r="AH33" s="40" t="str">
        <f t="shared" ca="1" si="13"/>
        <v/>
      </c>
      <c r="AI33" s="40" t="str">
        <f t="shared" ca="1" si="13"/>
        <v/>
      </c>
      <c r="AJ33" s="40" t="str">
        <f t="shared" ca="1" si="13"/>
        <v/>
      </c>
      <c r="AK33" s="40" t="str">
        <f t="shared" ca="1" si="13"/>
        <v/>
      </c>
      <c r="AL33" s="40" t="str">
        <f t="shared" ca="1" si="13"/>
        <v/>
      </c>
      <c r="AM33" s="40" t="str">
        <f t="shared" ca="1" si="13"/>
        <v/>
      </c>
      <c r="AN33" s="40" t="str">
        <f t="shared" ca="1" si="13"/>
        <v/>
      </c>
      <c r="AO33" s="40" t="str">
        <f t="shared" ca="1" si="13"/>
        <v/>
      </c>
      <c r="AP33" s="40" t="str">
        <f t="shared" ca="1" si="11"/>
        <v/>
      </c>
      <c r="AQ33" s="40" t="str">
        <f t="shared" ca="1" si="11"/>
        <v/>
      </c>
      <c r="AR33" s="40" t="str">
        <f t="shared" ca="1" si="11"/>
        <v/>
      </c>
      <c r="AS33" s="40" t="str">
        <f t="shared" ca="1" si="11"/>
        <v/>
      </c>
      <c r="AT33" s="40" t="str">
        <f t="shared" ca="1" si="11"/>
        <v/>
      </c>
      <c r="AU33" s="40" t="str">
        <f t="shared" ca="1" si="11"/>
        <v/>
      </c>
      <c r="AV33" s="40" t="str">
        <f t="shared" ca="1" si="11"/>
        <v/>
      </c>
      <c r="AW33" s="40" t="str">
        <f t="shared" ca="1" si="11"/>
        <v/>
      </c>
      <c r="AX33" s="40" t="str">
        <f t="shared" ca="1" si="11"/>
        <v/>
      </c>
      <c r="AY33" s="40" t="str">
        <f t="shared" ca="1" si="11"/>
        <v/>
      </c>
      <c r="AZ33" s="40" t="str">
        <f t="shared" ca="1" si="11"/>
        <v/>
      </c>
      <c r="BA33" s="40" t="str">
        <f t="shared" ca="1" si="11"/>
        <v/>
      </c>
      <c r="BB33" s="40" t="str">
        <f t="shared" ca="1" si="11"/>
        <v/>
      </c>
      <c r="BC33" s="40" t="str">
        <f t="shared" ca="1" si="11"/>
        <v/>
      </c>
      <c r="BD33" s="40" t="str">
        <f t="shared" ca="1" si="11"/>
        <v/>
      </c>
      <c r="BE33" s="40" t="str">
        <f t="shared" ca="1" si="14"/>
        <v/>
      </c>
      <c r="BF33" s="40" t="str">
        <f t="shared" ca="1" si="14"/>
        <v/>
      </c>
      <c r="BG33" s="40" t="str">
        <f t="shared" ca="1" si="14"/>
        <v/>
      </c>
      <c r="BH33" s="40" t="str">
        <f t="shared" ca="1" si="14"/>
        <v/>
      </c>
      <c r="BI33" s="40" t="str">
        <f t="shared" ca="1" si="14"/>
        <v/>
      </c>
      <c r="BJ33" s="40" t="str">
        <f t="shared" ca="1" si="14"/>
        <v/>
      </c>
      <c r="BK33" s="40" t="str">
        <f t="shared" ca="1" si="14"/>
        <v/>
      </c>
      <c r="BL33" s="40" t="str">
        <f t="shared" ca="1" si="14"/>
        <v/>
      </c>
      <c r="BM33" s="40" t="str">
        <f t="shared" ca="1" si="14"/>
        <v/>
      </c>
      <c r="BN33" s="24"/>
    </row>
    <row r="34" spans="1:66" s="1" customFormat="1" ht="40.15" customHeight="1" x14ac:dyDescent="0.25">
      <c r="A34" s="9"/>
      <c r="B34" s="19" t="s">
        <v>87</v>
      </c>
      <c r="C34" s="103" t="s">
        <v>88</v>
      </c>
      <c r="D34" s="19" t="s">
        <v>21</v>
      </c>
      <c r="E34" s="19" t="s">
        <v>53</v>
      </c>
      <c r="F34" s="19" t="s">
        <v>83</v>
      </c>
      <c r="G34" s="20">
        <f>IF(Milestones435[[#This Row],[Tipo]]="",G32,IF(Milestones435[[#This Row],[Tipo]]="Paralela",WORKDAY(VLOOKUP(F34,Milestones435[],6,FALSE),0),WORKDAY(VLOOKUP(F34,Milestones435[],6,FALSE),VLOOKUP(F34,Milestones435[],7,FALSE))))</f>
        <v>46206</v>
      </c>
      <c r="H34" s="21"/>
      <c r="I34" s="17"/>
      <c r="J34" s="40" t="str">
        <f t="shared" ca="1" si="10"/>
        <v/>
      </c>
      <c r="K34" s="40" t="str">
        <f t="shared" ca="1" si="10"/>
        <v/>
      </c>
      <c r="L34" s="40" t="str">
        <f t="shared" ca="1" si="10"/>
        <v/>
      </c>
      <c r="M34" s="40" t="str">
        <f t="shared" ca="1" si="10"/>
        <v/>
      </c>
      <c r="N34" s="40" t="str">
        <f t="shared" ca="1" si="10"/>
        <v/>
      </c>
      <c r="O34" s="40" t="str">
        <f t="shared" ca="1" si="10"/>
        <v/>
      </c>
      <c r="P34" s="40" t="str">
        <f t="shared" ca="1" si="10"/>
        <v/>
      </c>
      <c r="Q34" s="40" t="str">
        <f t="shared" ca="1" si="10"/>
        <v/>
      </c>
      <c r="R34" s="40" t="str">
        <f t="shared" ca="1" si="10"/>
        <v/>
      </c>
      <c r="S34" s="40" t="str">
        <f t="shared" ca="1" si="10"/>
        <v/>
      </c>
      <c r="T34" s="40" t="str">
        <f t="shared" ca="1" si="10"/>
        <v/>
      </c>
      <c r="U34" s="40" t="str">
        <f t="shared" ca="1" si="10"/>
        <v/>
      </c>
      <c r="V34" s="40" t="str">
        <f t="shared" ca="1" si="10"/>
        <v/>
      </c>
      <c r="W34" s="40" t="str">
        <f t="shared" ca="1" si="10"/>
        <v/>
      </c>
      <c r="X34" s="40" t="str">
        <f t="shared" ca="1" si="10"/>
        <v/>
      </c>
      <c r="Y34" s="40" t="str">
        <f t="shared" ca="1" si="10"/>
        <v/>
      </c>
      <c r="Z34" s="40" t="str">
        <f t="shared" ca="1" si="13"/>
        <v/>
      </c>
      <c r="AA34" s="40" t="str">
        <f t="shared" ca="1" si="13"/>
        <v/>
      </c>
      <c r="AB34" s="40" t="str">
        <f t="shared" ca="1" si="13"/>
        <v/>
      </c>
      <c r="AC34" s="40" t="str">
        <f t="shared" ca="1" si="13"/>
        <v/>
      </c>
      <c r="AD34" s="40" t="str">
        <f t="shared" ca="1" si="13"/>
        <v/>
      </c>
      <c r="AE34" s="40" t="str">
        <f t="shared" ca="1" si="13"/>
        <v/>
      </c>
      <c r="AF34" s="40" t="str">
        <f t="shared" ca="1" si="13"/>
        <v/>
      </c>
      <c r="AG34" s="40" t="str">
        <f t="shared" ca="1" si="13"/>
        <v/>
      </c>
      <c r="AH34" s="40" t="str">
        <f t="shared" ca="1" si="13"/>
        <v/>
      </c>
      <c r="AI34" s="40" t="str">
        <f t="shared" ca="1" si="13"/>
        <v/>
      </c>
      <c r="AJ34" s="40" t="str">
        <f t="shared" ca="1" si="13"/>
        <v/>
      </c>
      <c r="AK34" s="40" t="str">
        <f t="shared" ca="1" si="13"/>
        <v/>
      </c>
      <c r="AL34" s="40" t="str">
        <f t="shared" ca="1" si="13"/>
        <v/>
      </c>
      <c r="AM34" s="40" t="str">
        <f t="shared" ca="1" si="13"/>
        <v/>
      </c>
      <c r="AN34" s="40" t="str">
        <f t="shared" ca="1" si="13"/>
        <v/>
      </c>
      <c r="AO34" s="40" t="str">
        <f t="shared" ca="1" si="13"/>
        <v/>
      </c>
      <c r="AP34" s="40" t="str">
        <f t="shared" ca="1" si="11"/>
        <v/>
      </c>
      <c r="AQ34" s="40" t="str">
        <f t="shared" ca="1" si="11"/>
        <v/>
      </c>
      <c r="AR34" s="40" t="str">
        <f t="shared" ca="1" si="11"/>
        <v/>
      </c>
      <c r="AS34" s="40" t="str">
        <f t="shared" ca="1" si="11"/>
        <v/>
      </c>
      <c r="AT34" s="40" t="str">
        <f t="shared" ca="1" si="11"/>
        <v/>
      </c>
      <c r="AU34" s="40" t="str">
        <f t="shared" ca="1" si="11"/>
        <v/>
      </c>
      <c r="AV34" s="40" t="str">
        <f t="shared" ca="1" si="11"/>
        <v/>
      </c>
      <c r="AW34" s="40" t="str">
        <f t="shared" ca="1" si="11"/>
        <v/>
      </c>
      <c r="AX34" s="40" t="str">
        <f t="shared" ca="1" si="11"/>
        <v/>
      </c>
      <c r="AY34" s="40" t="str">
        <f t="shared" ca="1" si="11"/>
        <v/>
      </c>
      <c r="AZ34" s="40" t="str">
        <f t="shared" ca="1" si="11"/>
        <v/>
      </c>
      <c r="BA34" s="40" t="str">
        <f t="shared" ca="1" si="11"/>
        <v/>
      </c>
      <c r="BB34" s="40" t="str">
        <f t="shared" ca="1" si="11"/>
        <v/>
      </c>
      <c r="BC34" s="40" t="str">
        <f t="shared" ca="1" si="11"/>
        <v/>
      </c>
      <c r="BD34" s="40" t="str">
        <f t="shared" ca="1" si="11"/>
        <v/>
      </c>
      <c r="BE34" s="40" t="str">
        <f t="shared" ca="1" si="14"/>
        <v/>
      </c>
      <c r="BF34" s="40" t="str">
        <f t="shared" ca="1" si="14"/>
        <v/>
      </c>
      <c r="BG34" s="40" t="str">
        <f t="shared" ca="1" si="14"/>
        <v/>
      </c>
      <c r="BH34" s="40" t="str">
        <f t="shared" ca="1" si="14"/>
        <v/>
      </c>
      <c r="BI34" s="40" t="str">
        <f t="shared" ca="1" si="14"/>
        <v/>
      </c>
      <c r="BJ34" s="40" t="str">
        <f t="shared" ca="1" si="14"/>
        <v/>
      </c>
      <c r="BK34" s="40" t="str">
        <f t="shared" ca="1" si="14"/>
        <v/>
      </c>
      <c r="BL34" s="40" t="str">
        <f t="shared" ca="1" si="14"/>
        <v/>
      </c>
      <c r="BM34" s="40" t="str">
        <f t="shared" ca="1" si="14"/>
        <v/>
      </c>
      <c r="BN34" s="24"/>
    </row>
    <row r="35" spans="1:66" s="1" customFormat="1" ht="40.15" customHeight="1" x14ac:dyDescent="0.25">
      <c r="A35" s="9"/>
      <c r="B35" s="19" t="s">
        <v>89</v>
      </c>
      <c r="C35" s="22" t="s">
        <v>90</v>
      </c>
      <c r="D35" s="19" t="s">
        <v>25</v>
      </c>
      <c r="E35" s="19" t="s">
        <v>54</v>
      </c>
      <c r="F35" s="19" t="s">
        <v>87</v>
      </c>
      <c r="G35" s="20">
        <f>IF(Milestones435[[#This Row],[Tipo]]="",G33,IF(Milestones435[[#This Row],[Tipo]]="Paralela",WORKDAY(VLOOKUP(F35,Milestones435[],6,FALSE),0),WORKDAY(VLOOKUP(F35,Milestones435[],6,FALSE),VLOOKUP(F35,Milestones435[],7,FALSE))))</f>
        <v>46206</v>
      </c>
      <c r="H35" s="21">
        <v>2</v>
      </c>
      <c r="I35" s="17"/>
      <c r="J35" s="40" t="str">
        <f t="shared" ca="1" si="10"/>
        <v/>
      </c>
      <c r="K35" s="40" t="str">
        <f t="shared" ca="1" si="10"/>
        <v/>
      </c>
      <c r="L35" s="40" t="str">
        <f t="shared" ca="1" si="10"/>
        <v/>
      </c>
      <c r="M35" s="40" t="str">
        <f t="shared" ca="1" si="10"/>
        <v/>
      </c>
      <c r="N35" s="40" t="str">
        <f t="shared" ca="1" si="10"/>
        <v/>
      </c>
      <c r="O35" s="40" t="str">
        <f t="shared" ca="1" si="10"/>
        <v/>
      </c>
      <c r="P35" s="40" t="str">
        <f t="shared" ca="1" si="10"/>
        <v/>
      </c>
      <c r="Q35" s="40" t="str">
        <f t="shared" ca="1" si="10"/>
        <v/>
      </c>
      <c r="R35" s="40" t="str">
        <f t="shared" ca="1" si="10"/>
        <v/>
      </c>
      <c r="S35" s="40" t="str">
        <f t="shared" ca="1" si="10"/>
        <v/>
      </c>
      <c r="T35" s="40" t="str">
        <f t="shared" ca="1" si="10"/>
        <v/>
      </c>
      <c r="U35" s="40" t="str">
        <f t="shared" ca="1" si="10"/>
        <v/>
      </c>
      <c r="V35" s="40" t="str">
        <f t="shared" ca="1" si="10"/>
        <v/>
      </c>
      <c r="W35" s="40" t="str">
        <f t="shared" ca="1" si="10"/>
        <v/>
      </c>
      <c r="X35" s="40" t="str">
        <f t="shared" ca="1" si="10"/>
        <v/>
      </c>
      <c r="Y35" s="40" t="str">
        <f t="shared" ca="1" si="10"/>
        <v/>
      </c>
      <c r="Z35" s="40" t="str">
        <f t="shared" ca="1" si="13"/>
        <v/>
      </c>
      <c r="AA35" s="40" t="str">
        <f t="shared" ca="1" si="13"/>
        <v/>
      </c>
      <c r="AB35" s="40" t="str">
        <f t="shared" ca="1" si="13"/>
        <v/>
      </c>
      <c r="AC35" s="40" t="str">
        <f t="shared" ca="1" si="13"/>
        <v/>
      </c>
      <c r="AD35" s="40" t="str">
        <f t="shared" ca="1" si="13"/>
        <v/>
      </c>
      <c r="AE35" s="40" t="str">
        <f t="shared" ca="1" si="13"/>
        <v/>
      </c>
      <c r="AF35" s="40" t="str">
        <f t="shared" ca="1" si="13"/>
        <v/>
      </c>
      <c r="AG35" s="40" t="str">
        <f t="shared" ca="1" si="13"/>
        <v/>
      </c>
      <c r="AH35" s="40" t="str">
        <f t="shared" ca="1" si="13"/>
        <v/>
      </c>
      <c r="AI35" s="40" t="str">
        <f t="shared" ca="1" si="13"/>
        <v/>
      </c>
      <c r="AJ35" s="40" t="str">
        <f t="shared" ca="1" si="13"/>
        <v/>
      </c>
      <c r="AK35" s="40" t="str">
        <f t="shared" ca="1" si="13"/>
        <v/>
      </c>
      <c r="AL35" s="40" t="str">
        <f t="shared" ca="1" si="13"/>
        <v/>
      </c>
      <c r="AM35" s="40" t="str">
        <f t="shared" ca="1" si="13"/>
        <v/>
      </c>
      <c r="AN35" s="40" t="str">
        <f t="shared" ca="1" si="13"/>
        <v/>
      </c>
      <c r="AO35" s="40" t="str">
        <f t="shared" ca="1" si="13"/>
        <v/>
      </c>
      <c r="AP35" s="40" t="str">
        <f t="shared" ca="1" si="11"/>
        <v/>
      </c>
      <c r="AQ35" s="40" t="str">
        <f t="shared" ca="1" si="11"/>
        <v/>
      </c>
      <c r="AR35" s="40" t="str">
        <f t="shared" ca="1" si="11"/>
        <v/>
      </c>
      <c r="AS35" s="40" t="str">
        <f t="shared" ca="1" si="11"/>
        <v/>
      </c>
      <c r="AT35" s="40" t="str">
        <f t="shared" ca="1" si="11"/>
        <v/>
      </c>
      <c r="AU35" s="40" t="str">
        <f t="shared" ca="1" si="11"/>
        <v/>
      </c>
      <c r="AV35" s="40" t="str">
        <f t="shared" ca="1" si="11"/>
        <v/>
      </c>
      <c r="AW35" s="40" t="str">
        <f t="shared" ca="1" si="11"/>
        <v/>
      </c>
      <c r="AX35" s="40" t="str">
        <f t="shared" ca="1" si="11"/>
        <v/>
      </c>
      <c r="AY35" s="40" t="str">
        <f t="shared" ca="1" si="11"/>
        <v/>
      </c>
      <c r="AZ35" s="40" t="str">
        <f t="shared" ca="1" si="11"/>
        <v/>
      </c>
      <c r="BA35" s="40" t="str">
        <f t="shared" ca="1" si="11"/>
        <v/>
      </c>
      <c r="BB35" s="40" t="str">
        <f t="shared" ca="1" si="11"/>
        <v/>
      </c>
      <c r="BC35" s="40" t="str">
        <f t="shared" ca="1" si="11"/>
        <v/>
      </c>
      <c r="BD35" s="40" t="str">
        <f t="shared" ca="1" si="11"/>
        <v/>
      </c>
      <c r="BE35" s="40" t="str">
        <f t="shared" ca="1" si="14"/>
        <v/>
      </c>
      <c r="BF35" s="40" t="str">
        <f t="shared" ca="1" si="14"/>
        <v/>
      </c>
      <c r="BG35" s="40" t="str">
        <f t="shared" ca="1" si="14"/>
        <v/>
      </c>
      <c r="BH35" s="40" t="str">
        <f t="shared" ca="1" si="14"/>
        <v/>
      </c>
      <c r="BI35" s="40" t="str">
        <f t="shared" ca="1" si="14"/>
        <v/>
      </c>
      <c r="BJ35" s="40" t="str">
        <f t="shared" ca="1" si="14"/>
        <v/>
      </c>
      <c r="BK35" s="40" t="str">
        <f t="shared" ca="1" si="14"/>
        <v/>
      </c>
      <c r="BL35" s="40" t="str">
        <f t="shared" ca="1" si="14"/>
        <v/>
      </c>
      <c r="BM35" s="40" t="str">
        <f t="shared" ca="1" si="14"/>
        <v/>
      </c>
      <c r="BN35" s="24"/>
    </row>
    <row r="36" spans="1:66" s="1" customFormat="1" ht="40.15" customHeight="1" x14ac:dyDescent="0.25">
      <c r="A36" s="9"/>
      <c r="B36" s="19" t="s">
        <v>91</v>
      </c>
      <c r="C36" s="22" t="s">
        <v>92</v>
      </c>
      <c r="D36" s="19" t="s">
        <v>25</v>
      </c>
      <c r="E36" s="19" t="s">
        <v>54</v>
      </c>
      <c r="F36" s="19" t="s">
        <v>89</v>
      </c>
      <c r="G36" s="20">
        <f>IF(Milestones435[[#This Row],[Tipo]]="",G34,IF(Milestones435[[#This Row],[Tipo]]="Paralela",WORKDAY(VLOOKUP(F36,Milestones435[],6,FALSE),0),WORKDAY(VLOOKUP(F36,Milestones435[],6,FALSE),VLOOKUP(F36,Milestones435[],7,FALSE))))</f>
        <v>46206</v>
      </c>
      <c r="H36" s="21">
        <v>2</v>
      </c>
      <c r="I36" s="17"/>
      <c r="J36" s="40" t="str">
        <f t="shared" ca="1" si="10"/>
        <v/>
      </c>
      <c r="K36" s="40" t="str">
        <f t="shared" ca="1" si="10"/>
        <v/>
      </c>
      <c r="L36" s="40" t="str">
        <f t="shared" ca="1" si="10"/>
        <v/>
      </c>
      <c r="M36" s="40" t="str">
        <f t="shared" ca="1" si="10"/>
        <v/>
      </c>
      <c r="N36" s="40" t="str">
        <f t="shared" ca="1" si="10"/>
        <v/>
      </c>
      <c r="O36" s="40" t="str">
        <f t="shared" ca="1" si="10"/>
        <v/>
      </c>
      <c r="P36" s="40" t="str">
        <f t="shared" ca="1" si="10"/>
        <v/>
      </c>
      <c r="Q36" s="40" t="str">
        <f t="shared" ca="1" si="10"/>
        <v/>
      </c>
      <c r="R36" s="40" t="str">
        <f t="shared" ca="1" si="10"/>
        <v/>
      </c>
      <c r="S36" s="40" t="str">
        <f t="shared" ca="1" si="10"/>
        <v/>
      </c>
      <c r="T36" s="40" t="str">
        <f t="shared" ca="1" si="10"/>
        <v/>
      </c>
      <c r="U36" s="40" t="str">
        <f t="shared" ca="1" si="10"/>
        <v/>
      </c>
      <c r="V36" s="40" t="str">
        <f t="shared" ca="1" si="10"/>
        <v/>
      </c>
      <c r="W36" s="40" t="str">
        <f t="shared" ca="1" si="10"/>
        <v/>
      </c>
      <c r="X36" s="40" t="str">
        <f t="shared" ca="1" si="10"/>
        <v/>
      </c>
      <c r="Y36" s="40" t="str">
        <f t="shared" ca="1" si="10"/>
        <v/>
      </c>
      <c r="Z36" s="40" t="str">
        <f t="shared" ca="1" si="13"/>
        <v/>
      </c>
      <c r="AA36" s="40" t="str">
        <f t="shared" ca="1" si="13"/>
        <v/>
      </c>
      <c r="AB36" s="40" t="str">
        <f t="shared" ca="1" si="13"/>
        <v/>
      </c>
      <c r="AC36" s="40" t="str">
        <f t="shared" ca="1" si="13"/>
        <v/>
      </c>
      <c r="AD36" s="40" t="str">
        <f t="shared" ca="1" si="13"/>
        <v/>
      </c>
      <c r="AE36" s="40" t="str">
        <f t="shared" ca="1" si="13"/>
        <v/>
      </c>
      <c r="AF36" s="40" t="str">
        <f t="shared" ca="1" si="13"/>
        <v/>
      </c>
      <c r="AG36" s="40" t="str">
        <f t="shared" ca="1" si="13"/>
        <v/>
      </c>
      <c r="AH36" s="40" t="str">
        <f t="shared" ca="1" si="13"/>
        <v/>
      </c>
      <c r="AI36" s="40" t="str">
        <f t="shared" ca="1" si="13"/>
        <v/>
      </c>
      <c r="AJ36" s="40" t="str">
        <f t="shared" ca="1" si="13"/>
        <v/>
      </c>
      <c r="AK36" s="40" t="str">
        <f t="shared" ca="1" si="13"/>
        <v/>
      </c>
      <c r="AL36" s="40" t="str">
        <f t="shared" ca="1" si="13"/>
        <v/>
      </c>
      <c r="AM36" s="40" t="str">
        <f t="shared" ca="1" si="13"/>
        <v/>
      </c>
      <c r="AN36" s="40" t="str">
        <f t="shared" ca="1" si="13"/>
        <v/>
      </c>
      <c r="AO36" s="40" t="str">
        <f t="shared" ca="1" si="13"/>
        <v/>
      </c>
      <c r="AP36" s="40" t="str">
        <f t="shared" ca="1" si="11"/>
        <v/>
      </c>
      <c r="AQ36" s="40" t="str">
        <f t="shared" ca="1" si="11"/>
        <v/>
      </c>
      <c r="AR36" s="40" t="str">
        <f t="shared" ca="1" si="11"/>
        <v/>
      </c>
      <c r="AS36" s="40" t="str">
        <f t="shared" ca="1" si="11"/>
        <v/>
      </c>
      <c r="AT36" s="40" t="str">
        <f t="shared" ca="1" si="11"/>
        <v/>
      </c>
      <c r="AU36" s="40" t="str">
        <f t="shared" ca="1" si="11"/>
        <v/>
      </c>
      <c r="AV36" s="40" t="str">
        <f t="shared" ca="1" si="11"/>
        <v/>
      </c>
      <c r="AW36" s="40" t="str">
        <f t="shared" ca="1" si="11"/>
        <v/>
      </c>
      <c r="AX36" s="40" t="str">
        <f t="shared" ca="1" si="11"/>
        <v/>
      </c>
      <c r="AY36" s="40" t="str">
        <f t="shared" ca="1" si="11"/>
        <v/>
      </c>
      <c r="AZ36" s="40" t="str">
        <f t="shared" ca="1" si="11"/>
        <v/>
      </c>
      <c r="BA36" s="40" t="str">
        <f t="shared" ca="1" si="11"/>
        <v/>
      </c>
      <c r="BB36" s="40" t="str">
        <f t="shared" ca="1" si="11"/>
        <v/>
      </c>
      <c r="BC36" s="40" t="str">
        <f t="shared" ca="1" si="11"/>
        <v/>
      </c>
      <c r="BD36" s="40" t="str">
        <f t="shared" ca="1" si="11"/>
        <v/>
      </c>
      <c r="BE36" s="40" t="str">
        <f t="shared" ca="1" si="14"/>
        <v/>
      </c>
      <c r="BF36" s="40" t="str">
        <f t="shared" ca="1" si="14"/>
        <v/>
      </c>
      <c r="BG36" s="40" t="str">
        <f t="shared" ca="1" si="14"/>
        <v/>
      </c>
      <c r="BH36" s="40" t="str">
        <f t="shared" ca="1" si="14"/>
        <v/>
      </c>
      <c r="BI36" s="40" t="str">
        <f t="shared" ca="1" si="14"/>
        <v/>
      </c>
      <c r="BJ36" s="40" t="str">
        <f t="shared" ca="1" si="14"/>
        <v/>
      </c>
      <c r="BK36" s="40" t="str">
        <f t="shared" ca="1" si="14"/>
        <v/>
      </c>
      <c r="BL36" s="40" t="str">
        <f t="shared" ca="1" si="14"/>
        <v/>
      </c>
      <c r="BM36" s="40" t="str">
        <f t="shared" ca="1" si="14"/>
        <v/>
      </c>
      <c r="BN36" s="24"/>
    </row>
    <row r="37" spans="1:66" s="1" customFormat="1" ht="40.15" customHeight="1" x14ac:dyDescent="0.25">
      <c r="A37" s="9"/>
      <c r="B37" s="19" t="s">
        <v>93</v>
      </c>
      <c r="C37" s="22" t="s">
        <v>94</v>
      </c>
      <c r="D37" s="19" t="s">
        <v>25</v>
      </c>
      <c r="E37" s="19" t="s">
        <v>54</v>
      </c>
      <c r="F37" s="19" t="s">
        <v>91</v>
      </c>
      <c r="G37" s="20">
        <f>IF(Milestones435[[#This Row],[Tipo]]="",G35,IF(Milestones435[[#This Row],[Tipo]]="Paralela",WORKDAY(VLOOKUP(F37,Milestones435[],6,FALSE),0),WORKDAY(VLOOKUP(F37,Milestones435[],6,FALSE),VLOOKUP(F37,Milestones435[],7,FALSE))))</f>
        <v>46206</v>
      </c>
      <c r="H37" s="21">
        <v>2</v>
      </c>
      <c r="I37" s="17"/>
      <c r="J37" s="40" t="str">
        <f t="shared" ca="1" si="10"/>
        <v/>
      </c>
      <c r="K37" s="40" t="str">
        <f t="shared" ca="1" si="10"/>
        <v/>
      </c>
      <c r="L37" s="40" t="str">
        <f t="shared" ca="1" si="10"/>
        <v/>
      </c>
      <c r="M37" s="40" t="str">
        <f t="shared" ca="1" si="10"/>
        <v/>
      </c>
      <c r="N37" s="40" t="str">
        <f t="shared" ca="1" si="10"/>
        <v/>
      </c>
      <c r="O37" s="40" t="str">
        <f t="shared" ca="1" si="10"/>
        <v/>
      </c>
      <c r="P37" s="40" t="str">
        <f t="shared" ca="1" si="10"/>
        <v/>
      </c>
      <c r="Q37" s="40" t="str">
        <f t="shared" ca="1" si="10"/>
        <v/>
      </c>
      <c r="R37" s="40" t="str">
        <f t="shared" ca="1" si="10"/>
        <v/>
      </c>
      <c r="S37" s="40" t="str">
        <f t="shared" ca="1" si="10"/>
        <v/>
      </c>
      <c r="T37" s="40" t="str">
        <f t="shared" ca="1" si="10"/>
        <v/>
      </c>
      <c r="U37" s="40" t="str">
        <f t="shared" ca="1" si="10"/>
        <v/>
      </c>
      <c r="V37" s="40" t="str">
        <f t="shared" ca="1" si="10"/>
        <v/>
      </c>
      <c r="W37" s="40" t="str">
        <f t="shared" ca="1" si="10"/>
        <v/>
      </c>
      <c r="X37" s="40" t="str">
        <f t="shared" ca="1" si="10"/>
        <v/>
      </c>
      <c r="Y37" s="40" t="str">
        <f t="shared" ca="1" si="10"/>
        <v/>
      </c>
      <c r="Z37" s="40" t="str">
        <f t="shared" ca="1" si="13"/>
        <v/>
      </c>
      <c r="AA37" s="40" t="str">
        <f t="shared" ca="1" si="13"/>
        <v/>
      </c>
      <c r="AB37" s="40" t="str">
        <f t="shared" ca="1" si="13"/>
        <v/>
      </c>
      <c r="AC37" s="40" t="str">
        <f t="shared" ca="1" si="13"/>
        <v/>
      </c>
      <c r="AD37" s="40" t="str">
        <f t="shared" ca="1" si="13"/>
        <v/>
      </c>
      <c r="AE37" s="40" t="str">
        <f t="shared" ca="1" si="13"/>
        <v/>
      </c>
      <c r="AF37" s="40" t="str">
        <f t="shared" ca="1" si="13"/>
        <v/>
      </c>
      <c r="AG37" s="40" t="str">
        <f t="shared" ca="1" si="13"/>
        <v/>
      </c>
      <c r="AH37" s="40" t="str">
        <f t="shared" ca="1" si="13"/>
        <v/>
      </c>
      <c r="AI37" s="40" t="str">
        <f t="shared" ca="1" si="13"/>
        <v/>
      </c>
      <c r="AJ37" s="40" t="str">
        <f t="shared" ca="1" si="13"/>
        <v/>
      </c>
      <c r="AK37" s="40" t="str">
        <f t="shared" ca="1" si="13"/>
        <v/>
      </c>
      <c r="AL37" s="40" t="str">
        <f t="shared" ca="1" si="13"/>
        <v/>
      </c>
      <c r="AM37" s="40" t="str">
        <f t="shared" ca="1" si="13"/>
        <v/>
      </c>
      <c r="AN37" s="40" t="str">
        <f t="shared" ca="1" si="13"/>
        <v/>
      </c>
      <c r="AO37" s="40" t="str">
        <f t="shared" ca="1" si="13"/>
        <v/>
      </c>
      <c r="AP37" s="40" t="str">
        <f t="shared" ca="1" si="11"/>
        <v/>
      </c>
      <c r="AQ37" s="40" t="str">
        <f t="shared" ca="1" si="11"/>
        <v/>
      </c>
      <c r="AR37" s="40" t="str">
        <f t="shared" ca="1" si="11"/>
        <v/>
      </c>
      <c r="AS37" s="40" t="str">
        <f t="shared" ca="1" si="11"/>
        <v/>
      </c>
      <c r="AT37" s="40" t="str">
        <f t="shared" ca="1" si="11"/>
        <v/>
      </c>
      <c r="AU37" s="40" t="str">
        <f t="shared" ca="1" si="11"/>
        <v/>
      </c>
      <c r="AV37" s="40" t="str">
        <f t="shared" ca="1" si="11"/>
        <v/>
      </c>
      <c r="AW37" s="40" t="str">
        <f t="shared" ca="1" si="11"/>
        <v/>
      </c>
      <c r="AX37" s="40" t="str">
        <f t="shared" ca="1" si="11"/>
        <v/>
      </c>
      <c r="AY37" s="40" t="str">
        <f t="shared" ca="1" si="11"/>
        <v/>
      </c>
      <c r="AZ37" s="40" t="str">
        <f t="shared" ca="1" si="11"/>
        <v/>
      </c>
      <c r="BA37" s="40" t="str">
        <f t="shared" ca="1" si="11"/>
        <v/>
      </c>
      <c r="BB37" s="40" t="str">
        <f t="shared" ca="1" si="11"/>
        <v/>
      </c>
      <c r="BC37" s="40" t="str">
        <f t="shared" ca="1" si="11"/>
        <v/>
      </c>
      <c r="BD37" s="40" t="str">
        <f t="shared" ca="1" si="11"/>
        <v/>
      </c>
      <c r="BE37" s="40" t="str">
        <f t="shared" ca="1" si="14"/>
        <v/>
      </c>
      <c r="BF37" s="40" t="str">
        <f t="shared" ca="1" si="14"/>
        <v/>
      </c>
      <c r="BG37" s="40" t="str">
        <f t="shared" ca="1" si="14"/>
        <v/>
      </c>
      <c r="BH37" s="40" t="str">
        <f t="shared" ca="1" si="14"/>
        <v/>
      </c>
      <c r="BI37" s="40" t="str">
        <f t="shared" ca="1" si="14"/>
        <v/>
      </c>
      <c r="BJ37" s="40" t="str">
        <f t="shared" ca="1" si="14"/>
        <v/>
      </c>
      <c r="BK37" s="40" t="str">
        <f t="shared" ca="1" si="14"/>
        <v/>
      </c>
      <c r="BL37" s="40" t="str">
        <f t="shared" ca="1" si="14"/>
        <v/>
      </c>
      <c r="BM37" s="40" t="str">
        <f t="shared" ca="1" si="14"/>
        <v/>
      </c>
      <c r="BN37" s="24"/>
    </row>
    <row r="38" spans="1:66" s="1" customFormat="1" ht="40.15" customHeight="1" x14ac:dyDescent="0.25">
      <c r="A38" s="9"/>
      <c r="B38" s="19" t="s">
        <v>95</v>
      </c>
      <c r="C38" s="22" t="s">
        <v>96</v>
      </c>
      <c r="D38" s="19" t="s">
        <v>25</v>
      </c>
      <c r="E38" s="19" t="s">
        <v>53</v>
      </c>
      <c r="F38" s="19" t="s">
        <v>93</v>
      </c>
      <c r="G38" s="20">
        <f>IF(Milestones435[[#This Row],[Tipo]]="",G36,IF(Milestones435[[#This Row],[Tipo]]="Paralela",WORKDAY(VLOOKUP(F38,Milestones435[],6,FALSE),0),WORKDAY(VLOOKUP(F38,Milestones435[],6,FALSE),VLOOKUP(F38,Milestones435[],7,FALSE))))</f>
        <v>46210</v>
      </c>
      <c r="H38" s="21">
        <v>2</v>
      </c>
      <c r="I38" s="17"/>
      <c r="J38" s="40" t="str">
        <f t="shared" ca="1" si="10"/>
        <v/>
      </c>
      <c r="K38" s="40" t="str">
        <f t="shared" ca="1" si="10"/>
        <v/>
      </c>
      <c r="L38" s="40" t="str">
        <f t="shared" ca="1" si="10"/>
        <v/>
      </c>
      <c r="M38" s="40" t="str">
        <f t="shared" ca="1" si="10"/>
        <v/>
      </c>
      <c r="N38" s="40" t="str">
        <f t="shared" ca="1" si="10"/>
        <v/>
      </c>
      <c r="O38" s="40" t="str">
        <f t="shared" ca="1" si="10"/>
        <v/>
      </c>
      <c r="P38" s="40" t="str">
        <f t="shared" ca="1" si="10"/>
        <v/>
      </c>
      <c r="Q38" s="40" t="str">
        <f t="shared" ca="1" si="10"/>
        <v/>
      </c>
      <c r="R38" s="40" t="str">
        <f t="shared" ca="1" si="10"/>
        <v/>
      </c>
      <c r="S38" s="40" t="str">
        <f t="shared" ca="1" si="10"/>
        <v/>
      </c>
      <c r="T38" s="40" t="str">
        <f t="shared" ca="1" si="10"/>
        <v/>
      </c>
      <c r="U38" s="40" t="str">
        <f t="shared" ca="1" si="10"/>
        <v/>
      </c>
      <c r="V38" s="40" t="str">
        <f t="shared" ca="1" si="10"/>
        <v/>
      </c>
      <c r="W38" s="40" t="str">
        <f t="shared" ca="1" si="10"/>
        <v/>
      </c>
      <c r="X38" s="40" t="str">
        <f t="shared" ca="1" si="10"/>
        <v/>
      </c>
      <c r="Y38" s="40" t="str">
        <f t="shared" ca="1" si="10"/>
        <v/>
      </c>
      <c r="Z38" s="40" t="str">
        <f t="shared" ca="1" si="13"/>
        <v/>
      </c>
      <c r="AA38" s="40" t="str">
        <f t="shared" ca="1" si="13"/>
        <v/>
      </c>
      <c r="AB38" s="40" t="str">
        <f t="shared" ca="1" si="13"/>
        <v/>
      </c>
      <c r="AC38" s="40" t="str">
        <f t="shared" ca="1" si="13"/>
        <v/>
      </c>
      <c r="AD38" s="40" t="str">
        <f t="shared" ca="1" si="13"/>
        <v/>
      </c>
      <c r="AE38" s="40" t="str">
        <f t="shared" ca="1" si="13"/>
        <v/>
      </c>
      <c r="AF38" s="40" t="str">
        <f t="shared" ca="1" si="13"/>
        <v/>
      </c>
      <c r="AG38" s="40" t="str">
        <f t="shared" ca="1" si="13"/>
        <v/>
      </c>
      <c r="AH38" s="40" t="str">
        <f t="shared" ca="1" si="13"/>
        <v/>
      </c>
      <c r="AI38" s="40" t="str">
        <f t="shared" ca="1" si="13"/>
        <v/>
      </c>
      <c r="AJ38" s="40" t="str">
        <f t="shared" ca="1" si="13"/>
        <v/>
      </c>
      <c r="AK38" s="40" t="str">
        <f t="shared" ca="1" si="13"/>
        <v/>
      </c>
      <c r="AL38" s="40" t="str">
        <f t="shared" ca="1" si="13"/>
        <v/>
      </c>
      <c r="AM38" s="40" t="str">
        <f t="shared" ca="1" si="13"/>
        <v/>
      </c>
      <c r="AN38" s="40" t="str">
        <f t="shared" ca="1" si="13"/>
        <v/>
      </c>
      <c r="AO38" s="40" t="str">
        <f t="shared" ca="1" si="13"/>
        <v/>
      </c>
      <c r="AP38" s="40" t="str">
        <f t="shared" ca="1" si="11"/>
        <v/>
      </c>
      <c r="AQ38" s="40" t="str">
        <f t="shared" ca="1" si="11"/>
        <v/>
      </c>
      <c r="AR38" s="40" t="str">
        <f t="shared" ca="1" si="11"/>
        <v/>
      </c>
      <c r="AS38" s="40" t="str">
        <f t="shared" ca="1" si="11"/>
        <v/>
      </c>
      <c r="AT38" s="40" t="str">
        <f t="shared" ca="1" si="11"/>
        <v/>
      </c>
      <c r="AU38" s="40" t="str">
        <f t="shared" ca="1" si="11"/>
        <v/>
      </c>
      <c r="AV38" s="40" t="str">
        <f t="shared" ca="1" si="11"/>
        <v/>
      </c>
      <c r="AW38" s="40" t="str">
        <f t="shared" ca="1" si="11"/>
        <v/>
      </c>
      <c r="AX38" s="40" t="str">
        <f t="shared" ca="1" si="11"/>
        <v/>
      </c>
      <c r="AY38" s="40" t="str">
        <f t="shared" ca="1" si="11"/>
        <v/>
      </c>
      <c r="AZ38" s="40" t="str">
        <f t="shared" ca="1" si="11"/>
        <v/>
      </c>
      <c r="BA38" s="40" t="str">
        <f t="shared" ca="1" si="11"/>
        <v/>
      </c>
      <c r="BB38" s="40" t="str">
        <f t="shared" ca="1" si="11"/>
        <v/>
      </c>
      <c r="BC38" s="40" t="str">
        <f t="shared" ca="1" si="11"/>
        <v/>
      </c>
      <c r="BD38" s="40" t="str">
        <f t="shared" ca="1" si="11"/>
        <v/>
      </c>
      <c r="BE38" s="40" t="str">
        <f t="shared" ca="1" si="14"/>
        <v/>
      </c>
      <c r="BF38" s="40" t="str">
        <f t="shared" ca="1" si="14"/>
        <v/>
      </c>
      <c r="BG38" s="40" t="str">
        <f t="shared" ca="1" si="14"/>
        <v/>
      </c>
      <c r="BH38" s="40" t="str">
        <f t="shared" ca="1" si="14"/>
        <v/>
      </c>
      <c r="BI38" s="40" t="str">
        <f t="shared" ca="1" si="14"/>
        <v/>
      </c>
      <c r="BJ38" s="40" t="str">
        <f t="shared" ca="1" si="14"/>
        <v/>
      </c>
      <c r="BK38" s="40" t="str">
        <f t="shared" ca="1" si="14"/>
        <v/>
      </c>
      <c r="BL38" s="40" t="str">
        <f t="shared" ca="1" si="14"/>
        <v/>
      </c>
      <c r="BM38" s="40" t="str">
        <f t="shared" ca="1" si="14"/>
        <v/>
      </c>
      <c r="BN38" s="24"/>
    </row>
    <row r="39" spans="1:66" s="1" customFormat="1" ht="40.15" customHeight="1" x14ac:dyDescent="0.25">
      <c r="A39" s="9"/>
      <c r="B39" s="19" t="s">
        <v>97</v>
      </c>
      <c r="C39" s="103" t="s">
        <v>98</v>
      </c>
      <c r="D39" s="19"/>
      <c r="E39" s="19" t="s">
        <v>53</v>
      </c>
      <c r="F39" s="19" t="s">
        <v>95</v>
      </c>
      <c r="G39" s="20">
        <f>IF(Milestones435[[#This Row],[Tipo]]="",G37,IF(Milestones435[[#This Row],[Tipo]]="Paralela",WORKDAY(VLOOKUP(F39,Milestones435[],6,FALSE),0),WORKDAY(VLOOKUP(F39,Milestones435[],6,FALSE),VLOOKUP(F39,Milestones435[],7,FALSE))))</f>
        <v>46212</v>
      </c>
      <c r="H39" s="21"/>
      <c r="I39" s="17"/>
      <c r="J39" s="40" t="str">
        <f t="shared" ca="1" si="10"/>
        <v/>
      </c>
      <c r="K39" s="40" t="str">
        <f t="shared" ca="1" si="10"/>
        <v/>
      </c>
      <c r="L39" s="40" t="str">
        <f t="shared" ca="1" si="10"/>
        <v/>
      </c>
      <c r="M39" s="40" t="str">
        <f t="shared" ca="1" si="10"/>
        <v/>
      </c>
      <c r="N39" s="40" t="str">
        <f t="shared" ca="1" si="10"/>
        <v/>
      </c>
      <c r="O39" s="40" t="str">
        <f t="shared" ca="1" si="10"/>
        <v/>
      </c>
      <c r="P39" s="40" t="str">
        <f t="shared" ca="1" si="10"/>
        <v/>
      </c>
      <c r="Q39" s="40" t="str">
        <f t="shared" ca="1" si="10"/>
        <v/>
      </c>
      <c r="R39" s="40" t="str">
        <f t="shared" ca="1" si="10"/>
        <v/>
      </c>
      <c r="S39" s="40" t="str">
        <f t="shared" ca="1" si="10"/>
        <v/>
      </c>
      <c r="T39" s="40" t="str">
        <f t="shared" ca="1" si="10"/>
        <v/>
      </c>
      <c r="U39" s="40" t="str">
        <f t="shared" ca="1" si="10"/>
        <v/>
      </c>
      <c r="V39" s="40" t="str">
        <f t="shared" ca="1" si="10"/>
        <v/>
      </c>
      <c r="W39" s="40" t="str">
        <f t="shared" ca="1" si="10"/>
        <v/>
      </c>
      <c r="X39" s="40" t="str">
        <f t="shared" ca="1" si="10"/>
        <v/>
      </c>
      <c r="Y39" s="40" t="str">
        <f t="shared" ca="1" si="10"/>
        <v/>
      </c>
      <c r="Z39" s="40" t="str">
        <f t="shared" ca="1" si="13"/>
        <v/>
      </c>
      <c r="AA39" s="40" t="str">
        <f t="shared" ca="1" si="13"/>
        <v/>
      </c>
      <c r="AB39" s="40" t="str">
        <f t="shared" ca="1" si="13"/>
        <v/>
      </c>
      <c r="AC39" s="40" t="str">
        <f t="shared" ca="1" si="13"/>
        <v/>
      </c>
      <c r="AD39" s="40" t="str">
        <f t="shared" ca="1" si="13"/>
        <v/>
      </c>
      <c r="AE39" s="40" t="str">
        <f t="shared" ca="1" si="13"/>
        <v/>
      </c>
      <c r="AF39" s="40" t="str">
        <f t="shared" ca="1" si="13"/>
        <v/>
      </c>
      <c r="AG39" s="40" t="str">
        <f t="shared" ca="1" si="13"/>
        <v/>
      </c>
      <c r="AH39" s="40" t="str">
        <f t="shared" ca="1" si="13"/>
        <v/>
      </c>
      <c r="AI39" s="40" t="str">
        <f t="shared" ca="1" si="13"/>
        <v/>
      </c>
      <c r="AJ39" s="40" t="str">
        <f t="shared" ca="1" si="13"/>
        <v/>
      </c>
      <c r="AK39" s="40" t="str">
        <f t="shared" ca="1" si="13"/>
        <v/>
      </c>
      <c r="AL39" s="40" t="str">
        <f t="shared" ca="1" si="13"/>
        <v/>
      </c>
      <c r="AM39" s="40" t="str">
        <f t="shared" ca="1" si="13"/>
        <v/>
      </c>
      <c r="AN39" s="40" t="str">
        <f t="shared" ca="1" si="13"/>
        <v/>
      </c>
      <c r="AO39" s="40" t="str">
        <f t="shared" ca="1" si="13"/>
        <v/>
      </c>
      <c r="AP39" s="40" t="str">
        <f t="shared" ca="1" si="11"/>
        <v/>
      </c>
      <c r="AQ39" s="40" t="str">
        <f t="shared" ca="1" si="11"/>
        <v/>
      </c>
      <c r="AR39" s="40" t="str">
        <f t="shared" ca="1" si="11"/>
        <v/>
      </c>
      <c r="AS39" s="40" t="str">
        <f t="shared" ca="1" si="11"/>
        <v/>
      </c>
      <c r="AT39" s="40" t="str">
        <f t="shared" ca="1" si="11"/>
        <v/>
      </c>
      <c r="AU39" s="40" t="str">
        <f t="shared" ca="1" si="11"/>
        <v/>
      </c>
      <c r="AV39" s="40" t="str">
        <f t="shared" ca="1" si="11"/>
        <v/>
      </c>
      <c r="AW39" s="40" t="str">
        <f t="shared" ca="1" si="11"/>
        <v/>
      </c>
      <c r="AX39" s="40" t="str">
        <f t="shared" ca="1" si="11"/>
        <v/>
      </c>
      <c r="AY39" s="40" t="str">
        <f t="shared" ca="1" si="11"/>
        <v/>
      </c>
      <c r="AZ39" s="40" t="str">
        <f t="shared" ca="1" si="11"/>
        <v/>
      </c>
      <c r="BA39" s="40" t="str">
        <f t="shared" ca="1" si="11"/>
        <v/>
      </c>
      <c r="BB39" s="40" t="str">
        <f t="shared" ca="1" si="11"/>
        <v/>
      </c>
      <c r="BC39" s="40" t="str">
        <f t="shared" ca="1" si="11"/>
        <v/>
      </c>
      <c r="BD39" s="40" t="str">
        <f t="shared" ca="1" si="11"/>
        <v/>
      </c>
      <c r="BE39" s="40" t="str">
        <f t="shared" ca="1" si="14"/>
        <v/>
      </c>
      <c r="BF39" s="40" t="str">
        <f t="shared" ca="1" si="14"/>
        <v/>
      </c>
      <c r="BG39" s="40" t="str">
        <f t="shared" ca="1" si="14"/>
        <v/>
      </c>
      <c r="BH39" s="40" t="str">
        <f t="shared" ca="1" si="14"/>
        <v/>
      </c>
      <c r="BI39" s="40" t="str">
        <f t="shared" ca="1" si="14"/>
        <v/>
      </c>
      <c r="BJ39" s="40" t="str">
        <f t="shared" ca="1" si="14"/>
        <v/>
      </c>
      <c r="BK39" s="40" t="str">
        <f t="shared" ca="1" si="14"/>
        <v/>
      </c>
      <c r="BL39" s="40" t="str">
        <f t="shared" ca="1" si="14"/>
        <v/>
      </c>
      <c r="BM39" s="40" t="str">
        <f t="shared" ca="1" si="14"/>
        <v/>
      </c>
      <c r="BN39" s="24"/>
    </row>
    <row r="40" spans="1:66" s="1" customFormat="1" ht="40.15" customHeight="1" x14ac:dyDescent="0.25">
      <c r="A40" s="9"/>
      <c r="B40" s="19" t="s">
        <v>99</v>
      </c>
      <c r="C40" s="22" t="s">
        <v>100</v>
      </c>
      <c r="D40" s="19" t="s">
        <v>25</v>
      </c>
      <c r="E40" s="19" t="s">
        <v>54</v>
      </c>
      <c r="F40" s="19" t="s">
        <v>97</v>
      </c>
      <c r="G40" s="20">
        <f>IF(Milestones435[[#This Row],[Tipo]]="",G38,IF(Milestones435[[#This Row],[Tipo]]="Paralela",WORKDAY(VLOOKUP(F40,Milestones435[],6,FALSE),0),WORKDAY(VLOOKUP(F40,Milestones435[],6,FALSE),VLOOKUP(F40,Milestones435[],7,FALSE))))</f>
        <v>46212</v>
      </c>
      <c r="H40" s="21">
        <v>2</v>
      </c>
      <c r="I40" s="17"/>
      <c r="J40" s="40" t="str">
        <f t="shared" ca="1" si="10"/>
        <v/>
      </c>
      <c r="K40" s="40" t="str">
        <f t="shared" ca="1" si="10"/>
        <v/>
      </c>
      <c r="L40" s="40" t="str">
        <f t="shared" ca="1" si="10"/>
        <v/>
      </c>
      <c r="M40" s="40" t="str">
        <f t="shared" ca="1" si="10"/>
        <v/>
      </c>
      <c r="N40" s="40" t="str">
        <f t="shared" ca="1" si="10"/>
        <v/>
      </c>
      <c r="O40" s="40" t="str">
        <f t="shared" ca="1" si="10"/>
        <v/>
      </c>
      <c r="P40" s="40" t="str">
        <f t="shared" ca="1" si="10"/>
        <v/>
      </c>
      <c r="Q40" s="40" t="str">
        <f t="shared" ca="1" si="10"/>
        <v/>
      </c>
      <c r="R40" s="40" t="str">
        <f t="shared" ca="1" si="10"/>
        <v/>
      </c>
      <c r="S40" s="40" t="str">
        <f t="shared" ca="1" si="10"/>
        <v/>
      </c>
      <c r="T40" s="40" t="str">
        <f t="shared" ca="1" si="10"/>
        <v/>
      </c>
      <c r="U40" s="40" t="str">
        <f t="shared" ca="1" si="10"/>
        <v/>
      </c>
      <c r="V40" s="40" t="str">
        <f t="shared" ca="1" si="10"/>
        <v/>
      </c>
      <c r="W40" s="40" t="str">
        <f t="shared" ca="1" si="10"/>
        <v/>
      </c>
      <c r="X40" s="40" t="str">
        <f t="shared" ca="1" si="10"/>
        <v/>
      </c>
      <c r="Y40" s="40" t="str">
        <f t="shared" ca="1" si="10"/>
        <v/>
      </c>
      <c r="Z40" s="40" t="str">
        <f t="shared" ca="1" si="13"/>
        <v/>
      </c>
      <c r="AA40" s="40" t="str">
        <f t="shared" ca="1" si="13"/>
        <v/>
      </c>
      <c r="AB40" s="40" t="str">
        <f t="shared" ca="1" si="13"/>
        <v/>
      </c>
      <c r="AC40" s="40" t="str">
        <f t="shared" ca="1" si="13"/>
        <v/>
      </c>
      <c r="AD40" s="40" t="str">
        <f t="shared" ca="1" si="13"/>
        <v/>
      </c>
      <c r="AE40" s="40" t="str">
        <f t="shared" ca="1" si="13"/>
        <v/>
      </c>
      <c r="AF40" s="40" t="str">
        <f t="shared" ca="1" si="13"/>
        <v/>
      </c>
      <c r="AG40" s="40" t="str">
        <f t="shared" ca="1" si="13"/>
        <v/>
      </c>
      <c r="AH40" s="40" t="str">
        <f t="shared" ca="1" si="13"/>
        <v/>
      </c>
      <c r="AI40" s="40" t="str">
        <f t="shared" ca="1" si="13"/>
        <v/>
      </c>
      <c r="AJ40" s="40" t="str">
        <f t="shared" ca="1" si="13"/>
        <v/>
      </c>
      <c r="AK40" s="40" t="str">
        <f t="shared" ca="1" si="13"/>
        <v/>
      </c>
      <c r="AL40" s="40" t="str">
        <f t="shared" ca="1" si="13"/>
        <v/>
      </c>
      <c r="AM40" s="40" t="str">
        <f t="shared" ca="1" si="13"/>
        <v/>
      </c>
      <c r="AN40" s="40" t="str">
        <f t="shared" ca="1" si="13"/>
        <v/>
      </c>
      <c r="AO40" s="40" t="str">
        <f t="shared" ca="1" si="13"/>
        <v/>
      </c>
      <c r="AP40" s="40" t="str">
        <f t="shared" ca="1" si="11"/>
        <v/>
      </c>
      <c r="AQ40" s="40" t="str">
        <f t="shared" ca="1" si="11"/>
        <v/>
      </c>
      <c r="AR40" s="40" t="str">
        <f t="shared" ca="1" si="11"/>
        <v/>
      </c>
      <c r="AS40" s="40" t="str">
        <f t="shared" ca="1" si="11"/>
        <v/>
      </c>
      <c r="AT40" s="40" t="str">
        <f t="shared" ca="1" si="11"/>
        <v/>
      </c>
      <c r="AU40" s="40" t="str">
        <f t="shared" ca="1" si="11"/>
        <v/>
      </c>
      <c r="AV40" s="40" t="str">
        <f t="shared" ca="1" si="11"/>
        <v/>
      </c>
      <c r="AW40" s="40" t="str">
        <f t="shared" ca="1" si="11"/>
        <v/>
      </c>
      <c r="AX40" s="40" t="str">
        <f t="shared" ca="1" si="11"/>
        <v/>
      </c>
      <c r="AY40" s="40" t="str">
        <f t="shared" ca="1" si="11"/>
        <v/>
      </c>
      <c r="AZ40" s="40" t="str">
        <f t="shared" ca="1" si="11"/>
        <v/>
      </c>
      <c r="BA40" s="40" t="str">
        <f t="shared" ca="1" si="11"/>
        <v/>
      </c>
      <c r="BB40" s="40" t="str">
        <f t="shared" ca="1" si="11"/>
        <v/>
      </c>
      <c r="BC40" s="40" t="str">
        <f t="shared" ca="1" si="11"/>
        <v/>
      </c>
      <c r="BD40" s="40" t="str">
        <f t="shared" ca="1" si="11"/>
        <v/>
      </c>
      <c r="BE40" s="40" t="str">
        <f t="shared" ca="1" si="14"/>
        <v/>
      </c>
      <c r="BF40" s="40" t="str">
        <f t="shared" ca="1" si="14"/>
        <v/>
      </c>
      <c r="BG40" s="40" t="str">
        <f t="shared" ca="1" si="14"/>
        <v/>
      </c>
      <c r="BH40" s="40" t="str">
        <f t="shared" ca="1" si="14"/>
        <v/>
      </c>
      <c r="BI40" s="40" t="str">
        <f t="shared" ca="1" si="14"/>
        <v/>
      </c>
      <c r="BJ40" s="40" t="str">
        <f t="shared" ca="1" si="14"/>
        <v/>
      </c>
      <c r="BK40" s="40" t="str">
        <f t="shared" ca="1" si="14"/>
        <v/>
      </c>
      <c r="BL40" s="40" t="str">
        <f t="shared" ca="1" si="14"/>
        <v/>
      </c>
      <c r="BM40" s="40" t="str">
        <f t="shared" ca="1" si="14"/>
        <v/>
      </c>
      <c r="BN40" s="24"/>
    </row>
    <row r="41" spans="1:66" s="1" customFormat="1" ht="40.15" customHeight="1" x14ac:dyDescent="0.25">
      <c r="A41" s="9"/>
      <c r="B41" s="19" t="s">
        <v>103</v>
      </c>
      <c r="C41" s="22" t="s">
        <v>101</v>
      </c>
      <c r="D41" s="19" t="s">
        <v>25</v>
      </c>
      <c r="E41" s="19" t="s">
        <v>54</v>
      </c>
      <c r="F41" s="19" t="s">
        <v>99</v>
      </c>
      <c r="G41" s="20">
        <f>IF(Milestones435[[#This Row],[Tipo]]="",G39,IF(Milestones435[[#This Row],[Tipo]]="Paralela",WORKDAY(VLOOKUP(F41,Milestones435[],6,FALSE),0),WORKDAY(VLOOKUP(F41,Milestones435[],6,FALSE),VLOOKUP(F41,Milestones435[],7,FALSE))))</f>
        <v>46212</v>
      </c>
      <c r="H41" s="21">
        <v>2</v>
      </c>
      <c r="I41" s="17"/>
      <c r="J41" s="40" t="str">
        <f t="shared" ca="1" si="10"/>
        <v/>
      </c>
      <c r="K41" s="40" t="str">
        <f t="shared" ca="1" si="10"/>
        <v/>
      </c>
      <c r="L41" s="40" t="str">
        <f t="shared" ca="1" si="10"/>
        <v/>
      </c>
      <c r="M41" s="40" t="str">
        <f t="shared" ca="1" si="10"/>
        <v/>
      </c>
      <c r="N41" s="40" t="str">
        <f t="shared" ca="1" si="10"/>
        <v/>
      </c>
      <c r="O41" s="40" t="str">
        <f t="shared" ca="1" si="10"/>
        <v/>
      </c>
      <c r="P41" s="40" t="str">
        <f t="shared" ca="1" si="10"/>
        <v/>
      </c>
      <c r="Q41" s="40" t="str">
        <f t="shared" ca="1" si="10"/>
        <v/>
      </c>
      <c r="R41" s="40" t="str">
        <f t="shared" ca="1" si="10"/>
        <v/>
      </c>
      <c r="S41" s="40" t="str">
        <f t="shared" ca="1" si="10"/>
        <v/>
      </c>
      <c r="T41" s="40" t="str">
        <f t="shared" ca="1" si="10"/>
        <v/>
      </c>
      <c r="U41" s="40" t="str">
        <f t="shared" ca="1" si="10"/>
        <v/>
      </c>
      <c r="V41" s="40" t="str">
        <f t="shared" ca="1" si="10"/>
        <v/>
      </c>
      <c r="W41" s="40" t="str">
        <f t="shared" ca="1" si="10"/>
        <v/>
      </c>
      <c r="X41" s="40" t="str">
        <f t="shared" ca="1" si="10"/>
        <v/>
      </c>
      <c r="Y41" s="40" t="str">
        <f t="shared" ca="1" si="10"/>
        <v/>
      </c>
      <c r="Z41" s="40" t="str">
        <f t="shared" ca="1" si="13"/>
        <v/>
      </c>
      <c r="AA41" s="40" t="str">
        <f t="shared" ca="1" si="13"/>
        <v/>
      </c>
      <c r="AB41" s="40" t="str">
        <f t="shared" ca="1" si="13"/>
        <v/>
      </c>
      <c r="AC41" s="40" t="str">
        <f t="shared" ca="1" si="13"/>
        <v/>
      </c>
      <c r="AD41" s="40" t="str">
        <f t="shared" ca="1" si="13"/>
        <v/>
      </c>
      <c r="AE41" s="40" t="str">
        <f t="shared" ca="1" si="13"/>
        <v/>
      </c>
      <c r="AF41" s="40" t="str">
        <f t="shared" ca="1" si="13"/>
        <v/>
      </c>
      <c r="AG41" s="40" t="str">
        <f t="shared" ca="1" si="13"/>
        <v/>
      </c>
      <c r="AH41" s="40" t="str">
        <f t="shared" ca="1" si="13"/>
        <v/>
      </c>
      <c r="AI41" s="40" t="str">
        <f t="shared" ca="1" si="13"/>
        <v/>
      </c>
      <c r="AJ41" s="40" t="str">
        <f t="shared" ca="1" si="13"/>
        <v/>
      </c>
      <c r="AK41" s="40" t="str">
        <f t="shared" ca="1" si="13"/>
        <v/>
      </c>
      <c r="AL41" s="40" t="str">
        <f t="shared" ca="1" si="13"/>
        <v/>
      </c>
      <c r="AM41" s="40" t="str">
        <f t="shared" ca="1" si="13"/>
        <v/>
      </c>
      <c r="AN41" s="40" t="str">
        <f t="shared" ca="1" si="13"/>
        <v/>
      </c>
      <c r="AO41" s="40" t="str">
        <f t="shared" ca="1" si="13"/>
        <v/>
      </c>
      <c r="AP41" s="40" t="str">
        <f t="shared" ca="1" si="11"/>
        <v/>
      </c>
      <c r="AQ41" s="40" t="str">
        <f t="shared" ca="1" si="11"/>
        <v/>
      </c>
      <c r="AR41" s="40" t="str">
        <f t="shared" ca="1" si="11"/>
        <v/>
      </c>
      <c r="AS41" s="40" t="str">
        <f t="shared" ca="1" si="11"/>
        <v/>
      </c>
      <c r="AT41" s="40" t="str">
        <f t="shared" ca="1" si="11"/>
        <v/>
      </c>
      <c r="AU41" s="40" t="str">
        <f t="shared" ca="1" si="11"/>
        <v/>
      </c>
      <c r="AV41" s="40" t="str">
        <f t="shared" ca="1" si="11"/>
        <v/>
      </c>
      <c r="AW41" s="40" t="str">
        <f t="shared" ca="1" si="11"/>
        <v/>
      </c>
      <c r="AX41" s="40" t="str">
        <f t="shared" ca="1" si="11"/>
        <v/>
      </c>
      <c r="AY41" s="40" t="str">
        <f t="shared" ca="1" si="11"/>
        <v/>
      </c>
      <c r="AZ41" s="40" t="str">
        <f t="shared" ca="1" si="11"/>
        <v/>
      </c>
      <c r="BA41" s="40" t="str">
        <f t="shared" ca="1" si="11"/>
        <v/>
      </c>
      <c r="BB41" s="40" t="str">
        <f t="shared" ca="1" si="11"/>
        <v/>
      </c>
      <c r="BC41" s="40" t="str">
        <f t="shared" ca="1" si="11"/>
        <v/>
      </c>
      <c r="BD41" s="40" t="str">
        <f t="shared" ca="1" si="11"/>
        <v/>
      </c>
      <c r="BE41" s="40" t="str">
        <f t="shared" ca="1" si="14"/>
        <v/>
      </c>
      <c r="BF41" s="40" t="str">
        <f t="shared" ca="1" si="14"/>
        <v/>
      </c>
      <c r="BG41" s="40" t="str">
        <f t="shared" ca="1" si="14"/>
        <v/>
      </c>
      <c r="BH41" s="40" t="str">
        <f t="shared" ca="1" si="14"/>
        <v/>
      </c>
      <c r="BI41" s="40" t="str">
        <f t="shared" ca="1" si="14"/>
        <v/>
      </c>
      <c r="BJ41" s="40" t="str">
        <f t="shared" ca="1" si="14"/>
        <v/>
      </c>
      <c r="BK41" s="40" t="str">
        <f t="shared" ca="1" si="14"/>
        <v/>
      </c>
      <c r="BL41" s="40" t="str">
        <f t="shared" ca="1" si="14"/>
        <v/>
      </c>
      <c r="BM41" s="40" t="str">
        <f t="shared" ca="1" si="14"/>
        <v/>
      </c>
      <c r="BN41" s="24"/>
    </row>
    <row r="42" spans="1:66" s="1" customFormat="1" ht="40.15" customHeight="1" x14ac:dyDescent="0.25">
      <c r="A42" s="9"/>
      <c r="B42" s="19" t="s">
        <v>104</v>
      </c>
      <c r="C42" s="22" t="s">
        <v>102</v>
      </c>
      <c r="D42" s="19" t="s">
        <v>25</v>
      </c>
      <c r="E42" s="19" t="s">
        <v>53</v>
      </c>
      <c r="F42" s="19" t="s">
        <v>103</v>
      </c>
      <c r="G42" s="20">
        <f>IF(Milestones435[[#This Row],[Tipo]]="",G40,IF(Milestones435[[#This Row],[Tipo]]="Paralela",WORKDAY(VLOOKUP(F42,Milestones435[],6,FALSE),0),WORKDAY(VLOOKUP(F42,Milestones435[],6,FALSE),VLOOKUP(F42,Milestones435[],7,FALSE))))</f>
        <v>46216</v>
      </c>
      <c r="H42" s="21">
        <v>2</v>
      </c>
      <c r="I42" s="17"/>
      <c r="J42" s="40" t="str">
        <f t="shared" ca="1" si="10"/>
        <v/>
      </c>
      <c r="K42" s="40" t="str">
        <f t="shared" ca="1" si="10"/>
        <v/>
      </c>
      <c r="L42" s="40" t="str">
        <f t="shared" ca="1" si="10"/>
        <v/>
      </c>
      <c r="M42" s="40" t="str">
        <f t="shared" ca="1" si="10"/>
        <v/>
      </c>
      <c r="N42" s="40" t="str">
        <f t="shared" ca="1" si="10"/>
        <v/>
      </c>
      <c r="O42" s="40" t="str">
        <f t="shared" ca="1" si="10"/>
        <v/>
      </c>
      <c r="P42" s="40" t="str">
        <f t="shared" ca="1" si="10"/>
        <v/>
      </c>
      <c r="Q42" s="40" t="str">
        <f t="shared" ca="1" si="10"/>
        <v/>
      </c>
      <c r="R42" s="40" t="str">
        <f t="shared" ca="1" si="10"/>
        <v/>
      </c>
      <c r="S42" s="40" t="str">
        <f t="shared" ca="1" si="10"/>
        <v/>
      </c>
      <c r="T42" s="40" t="str">
        <f t="shared" ca="1" si="10"/>
        <v/>
      </c>
      <c r="U42" s="40" t="str">
        <f t="shared" ca="1" si="10"/>
        <v/>
      </c>
      <c r="V42" s="40" t="str">
        <f t="shared" ca="1" si="10"/>
        <v/>
      </c>
      <c r="W42" s="40" t="str">
        <f t="shared" ca="1" si="10"/>
        <v/>
      </c>
      <c r="X42" s="40" t="str">
        <f t="shared" ca="1" si="10"/>
        <v/>
      </c>
      <c r="Y42" s="40" t="str">
        <f t="shared" ca="1" si="10"/>
        <v/>
      </c>
      <c r="Z42" s="40" t="str">
        <f t="shared" ca="1" si="13"/>
        <v/>
      </c>
      <c r="AA42" s="40" t="str">
        <f t="shared" ca="1" si="13"/>
        <v/>
      </c>
      <c r="AB42" s="40" t="str">
        <f t="shared" ca="1" si="13"/>
        <v/>
      </c>
      <c r="AC42" s="40" t="str">
        <f t="shared" ca="1" si="13"/>
        <v/>
      </c>
      <c r="AD42" s="40" t="str">
        <f t="shared" ca="1" si="13"/>
        <v/>
      </c>
      <c r="AE42" s="40" t="str">
        <f t="shared" ca="1" si="13"/>
        <v/>
      </c>
      <c r="AF42" s="40" t="str">
        <f t="shared" ca="1" si="13"/>
        <v/>
      </c>
      <c r="AG42" s="40" t="str">
        <f t="shared" ca="1" si="13"/>
        <v/>
      </c>
      <c r="AH42" s="40" t="str">
        <f t="shared" ca="1" si="13"/>
        <v/>
      </c>
      <c r="AI42" s="40" t="str">
        <f t="shared" ca="1" si="13"/>
        <v/>
      </c>
      <c r="AJ42" s="40" t="str">
        <f t="shared" ca="1" si="13"/>
        <v/>
      </c>
      <c r="AK42" s="40" t="str">
        <f t="shared" ca="1" si="13"/>
        <v/>
      </c>
      <c r="AL42" s="40" t="str">
        <f t="shared" ca="1" si="13"/>
        <v/>
      </c>
      <c r="AM42" s="40" t="str">
        <f t="shared" ca="1" si="13"/>
        <v/>
      </c>
      <c r="AN42" s="40" t="str">
        <f t="shared" ca="1" si="13"/>
        <v/>
      </c>
      <c r="AO42" s="40" t="str">
        <f t="shared" ca="1" si="13"/>
        <v/>
      </c>
      <c r="AP42" s="40" t="str">
        <f t="shared" ca="1" si="11"/>
        <v/>
      </c>
      <c r="AQ42" s="40" t="str">
        <f t="shared" ca="1" si="11"/>
        <v/>
      </c>
      <c r="AR42" s="40" t="str">
        <f t="shared" ca="1" si="11"/>
        <v/>
      </c>
      <c r="AS42" s="40" t="str">
        <f t="shared" ca="1" si="11"/>
        <v/>
      </c>
      <c r="AT42" s="40" t="str">
        <f t="shared" ca="1" si="11"/>
        <v/>
      </c>
      <c r="AU42" s="40" t="str">
        <f t="shared" ca="1" si="11"/>
        <v/>
      </c>
      <c r="AV42" s="40" t="str">
        <f t="shared" ca="1" si="11"/>
        <v/>
      </c>
      <c r="AW42" s="40" t="str">
        <f t="shared" ca="1" si="11"/>
        <v/>
      </c>
      <c r="AX42" s="40" t="str">
        <f t="shared" ca="1" si="11"/>
        <v/>
      </c>
      <c r="AY42" s="40" t="str">
        <f t="shared" ca="1" si="11"/>
        <v/>
      </c>
      <c r="AZ42" s="40" t="str">
        <f t="shared" ca="1" si="11"/>
        <v/>
      </c>
      <c r="BA42" s="40" t="str">
        <f t="shared" ca="1" si="11"/>
        <v/>
      </c>
      <c r="BB42" s="40" t="str">
        <f t="shared" ca="1" si="11"/>
        <v/>
      </c>
      <c r="BC42" s="40" t="str">
        <f t="shared" ca="1" si="11"/>
        <v/>
      </c>
      <c r="BD42" s="40" t="str">
        <f t="shared" ca="1" si="11"/>
        <v/>
      </c>
      <c r="BE42" s="40" t="str">
        <f t="shared" ca="1" si="14"/>
        <v/>
      </c>
      <c r="BF42" s="40" t="str">
        <f t="shared" ca="1" si="14"/>
        <v/>
      </c>
      <c r="BG42" s="40" t="str">
        <f t="shared" ca="1" si="14"/>
        <v/>
      </c>
      <c r="BH42" s="40" t="str">
        <f t="shared" ca="1" si="14"/>
        <v/>
      </c>
      <c r="BI42" s="40" t="str">
        <f t="shared" ca="1" si="14"/>
        <v/>
      </c>
      <c r="BJ42" s="40" t="str">
        <f t="shared" ca="1" si="14"/>
        <v/>
      </c>
      <c r="BK42" s="40" t="str">
        <f t="shared" ca="1" si="14"/>
        <v/>
      </c>
      <c r="BL42" s="40" t="str">
        <f t="shared" ca="1" si="14"/>
        <v/>
      </c>
      <c r="BM42" s="40" t="str">
        <f t="shared" ca="1" si="14"/>
        <v/>
      </c>
      <c r="BN42" s="24"/>
    </row>
    <row r="43" spans="1:66" s="1" customFormat="1" ht="40.15" customHeight="1" x14ac:dyDescent="0.25">
      <c r="A43" s="9"/>
      <c r="B43" s="19" t="s">
        <v>106</v>
      </c>
      <c r="C43" s="22" t="s">
        <v>105</v>
      </c>
      <c r="D43" s="19" t="s">
        <v>25</v>
      </c>
      <c r="E43" s="19" t="s">
        <v>54</v>
      </c>
      <c r="F43" s="19" t="s">
        <v>104</v>
      </c>
      <c r="G43" s="20">
        <f>IF(Milestones435[[#This Row],[Tipo]]="",G41,IF(Milestones435[[#This Row],[Tipo]]="Paralela",WORKDAY(VLOOKUP(F43,Milestones435[],6,FALSE),0),WORKDAY(VLOOKUP(F43,Milestones435[],6,FALSE),VLOOKUP(F43,Milestones435[],7,FALSE))))</f>
        <v>46216</v>
      </c>
      <c r="H43" s="21">
        <v>2</v>
      </c>
      <c r="I43" s="17"/>
      <c r="J43" s="40" t="str">
        <f t="shared" ca="1" si="10"/>
        <v/>
      </c>
      <c r="K43" s="40" t="str">
        <f t="shared" ca="1" si="10"/>
        <v/>
      </c>
      <c r="L43" s="40" t="str">
        <f t="shared" ca="1" si="10"/>
        <v/>
      </c>
      <c r="M43" s="40" t="str">
        <f t="shared" ca="1" si="10"/>
        <v/>
      </c>
      <c r="N43" s="40" t="str">
        <f t="shared" ca="1" si="10"/>
        <v/>
      </c>
      <c r="O43" s="40" t="str">
        <f t="shared" ca="1" si="10"/>
        <v/>
      </c>
      <c r="P43" s="40" t="str">
        <f t="shared" ca="1" si="10"/>
        <v/>
      </c>
      <c r="Q43" s="40" t="str">
        <f t="shared" ca="1" si="10"/>
        <v/>
      </c>
      <c r="R43" s="40" t="str">
        <f t="shared" ca="1" si="10"/>
        <v/>
      </c>
      <c r="S43" s="40" t="str">
        <f t="shared" ca="1" si="10"/>
        <v/>
      </c>
      <c r="T43" s="40" t="str">
        <f t="shared" ca="1" si="10"/>
        <v/>
      </c>
      <c r="U43" s="40" t="str">
        <f t="shared" ca="1" si="10"/>
        <v/>
      </c>
      <c r="V43" s="40" t="str">
        <f t="shared" ca="1" si="10"/>
        <v/>
      </c>
      <c r="W43" s="40" t="str">
        <f t="shared" ca="1" si="10"/>
        <v/>
      </c>
      <c r="X43" s="40" t="str">
        <f t="shared" ca="1" si="10"/>
        <v/>
      </c>
      <c r="Y43" s="40" t="str">
        <f t="shared" ref="J43:Y50" ca="1" si="15">IF(
    AND(
        Y$7&gt;=$G43,
        Y$7&lt;=WORKDAY($G43,$H43-1),
        WEEKDAY(Y$7,2)&lt;=5
    ),
    _xlfn.SWITCH($D43,
        "Objetivo",2,
        "Marco",1,
        ""
    ),
    ""
)</f>
        <v/>
      </c>
      <c r="Z43" s="40" t="str">
        <f t="shared" ca="1" si="13"/>
        <v/>
      </c>
      <c r="AA43" s="40" t="str">
        <f t="shared" ca="1" si="13"/>
        <v/>
      </c>
      <c r="AB43" s="40" t="str">
        <f t="shared" ca="1" si="13"/>
        <v/>
      </c>
      <c r="AC43" s="40" t="str">
        <f t="shared" ca="1" si="13"/>
        <v/>
      </c>
      <c r="AD43" s="40" t="str">
        <f t="shared" ca="1" si="13"/>
        <v/>
      </c>
      <c r="AE43" s="40" t="str">
        <f t="shared" ca="1" si="13"/>
        <v/>
      </c>
      <c r="AF43" s="40" t="str">
        <f t="shared" ca="1" si="13"/>
        <v/>
      </c>
      <c r="AG43" s="40" t="str">
        <f t="shared" ca="1" si="13"/>
        <v/>
      </c>
      <c r="AH43" s="40" t="str">
        <f t="shared" ca="1" si="13"/>
        <v/>
      </c>
      <c r="AI43" s="40" t="str">
        <f t="shared" ca="1" si="13"/>
        <v/>
      </c>
      <c r="AJ43" s="40" t="str">
        <f t="shared" ca="1" si="13"/>
        <v/>
      </c>
      <c r="AK43" s="40" t="str">
        <f t="shared" ca="1" si="13"/>
        <v/>
      </c>
      <c r="AL43" s="40" t="str">
        <f t="shared" ca="1" si="13"/>
        <v/>
      </c>
      <c r="AM43" s="40" t="str">
        <f t="shared" ca="1" si="13"/>
        <v/>
      </c>
      <c r="AN43" s="40" t="str">
        <f t="shared" ca="1" si="13"/>
        <v/>
      </c>
      <c r="AO43" s="40" t="str">
        <f t="shared" ca="1" si="13"/>
        <v/>
      </c>
      <c r="AP43" s="40" t="str">
        <f t="shared" ca="1" si="11"/>
        <v/>
      </c>
      <c r="AQ43" s="40" t="str">
        <f t="shared" ca="1" si="11"/>
        <v/>
      </c>
      <c r="AR43" s="40" t="str">
        <f t="shared" ca="1" si="11"/>
        <v/>
      </c>
      <c r="AS43" s="40" t="str">
        <f t="shared" ca="1" si="11"/>
        <v/>
      </c>
      <c r="AT43" s="40" t="str">
        <f t="shared" ca="1" si="11"/>
        <v/>
      </c>
      <c r="AU43" s="40" t="str">
        <f t="shared" ca="1" si="11"/>
        <v/>
      </c>
      <c r="AV43" s="40" t="str">
        <f t="shared" ca="1" si="11"/>
        <v/>
      </c>
      <c r="AW43" s="40" t="str">
        <f t="shared" ca="1" si="11"/>
        <v/>
      </c>
      <c r="AX43" s="40" t="str">
        <f t="shared" ca="1" si="11"/>
        <v/>
      </c>
      <c r="AY43" s="40" t="str">
        <f t="shared" ca="1" si="11"/>
        <v/>
      </c>
      <c r="AZ43" s="40" t="str">
        <f t="shared" ca="1" si="11"/>
        <v/>
      </c>
      <c r="BA43" s="40" t="str">
        <f t="shared" ca="1" si="11"/>
        <v/>
      </c>
      <c r="BB43" s="40" t="str">
        <f t="shared" ca="1" si="11"/>
        <v/>
      </c>
      <c r="BC43" s="40" t="str">
        <f t="shared" ca="1" si="11"/>
        <v/>
      </c>
      <c r="BD43" s="40" t="str">
        <f t="shared" ca="1" si="11"/>
        <v/>
      </c>
      <c r="BE43" s="40" t="str">
        <f t="shared" ca="1" si="14"/>
        <v/>
      </c>
      <c r="BF43" s="40" t="str">
        <f t="shared" ca="1" si="14"/>
        <v/>
      </c>
      <c r="BG43" s="40" t="str">
        <f t="shared" ca="1" si="14"/>
        <v/>
      </c>
      <c r="BH43" s="40" t="str">
        <f t="shared" ca="1" si="14"/>
        <v/>
      </c>
      <c r="BI43" s="40" t="str">
        <f t="shared" ca="1" si="14"/>
        <v/>
      </c>
      <c r="BJ43" s="40" t="str">
        <f t="shared" ca="1" si="14"/>
        <v/>
      </c>
      <c r="BK43" s="40" t="str">
        <f t="shared" ca="1" si="14"/>
        <v/>
      </c>
      <c r="BL43" s="40" t="str">
        <f t="shared" ca="1" si="14"/>
        <v/>
      </c>
      <c r="BM43" s="40" t="str">
        <f t="shared" ca="1" si="14"/>
        <v/>
      </c>
      <c r="BN43" s="24"/>
    </row>
    <row r="44" spans="1:66" s="1" customFormat="1" ht="40.15" customHeight="1" x14ac:dyDescent="0.25">
      <c r="A44" s="9"/>
      <c r="B44" s="19" t="s">
        <v>107</v>
      </c>
      <c r="C44" s="22" t="s">
        <v>108</v>
      </c>
      <c r="D44" s="19" t="s">
        <v>25</v>
      </c>
      <c r="E44" s="19" t="s">
        <v>53</v>
      </c>
      <c r="F44" s="19" t="s">
        <v>106</v>
      </c>
      <c r="G44" s="20">
        <f>IF(Milestones435[[#This Row],[Tipo]]="",G42,IF(Milestones435[[#This Row],[Tipo]]="Paralela",WORKDAY(VLOOKUP(F44,Milestones435[],6,FALSE),0),WORKDAY(VLOOKUP(F44,Milestones435[],6,FALSE),VLOOKUP(F44,Milestones435[],7,FALSE))))</f>
        <v>46218</v>
      </c>
      <c r="H44" s="21">
        <v>2</v>
      </c>
      <c r="I44" s="17"/>
      <c r="J44" s="40" t="str">
        <f t="shared" ca="1" si="15"/>
        <v/>
      </c>
      <c r="K44" s="40" t="str">
        <f t="shared" ca="1" si="15"/>
        <v/>
      </c>
      <c r="L44" s="40" t="str">
        <f t="shared" ca="1" si="15"/>
        <v/>
      </c>
      <c r="M44" s="40" t="str">
        <f t="shared" ca="1" si="15"/>
        <v/>
      </c>
      <c r="N44" s="40" t="str">
        <f t="shared" ca="1" si="15"/>
        <v/>
      </c>
      <c r="O44" s="40" t="str">
        <f t="shared" ca="1" si="15"/>
        <v/>
      </c>
      <c r="P44" s="40" t="str">
        <f t="shared" ca="1" si="15"/>
        <v/>
      </c>
      <c r="Q44" s="40" t="str">
        <f t="shared" ca="1" si="15"/>
        <v/>
      </c>
      <c r="R44" s="40" t="str">
        <f t="shared" ca="1" si="15"/>
        <v/>
      </c>
      <c r="S44" s="40" t="str">
        <f t="shared" ca="1" si="15"/>
        <v/>
      </c>
      <c r="T44" s="40" t="str">
        <f t="shared" ca="1" si="15"/>
        <v/>
      </c>
      <c r="U44" s="40" t="str">
        <f t="shared" ca="1" si="15"/>
        <v/>
      </c>
      <c r="V44" s="40" t="str">
        <f t="shared" ca="1" si="15"/>
        <v/>
      </c>
      <c r="W44" s="40" t="str">
        <f t="shared" ca="1" si="15"/>
        <v/>
      </c>
      <c r="X44" s="40" t="str">
        <f t="shared" ca="1" si="15"/>
        <v/>
      </c>
      <c r="Y44" s="40" t="str">
        <f t="shared" ca="1" si="15"/>
        <v/>
      </c>
      <c r="Z44" s="40" t="str">
        <f t="shared" ca="1" si="13"/>
        <v/>
      </c>
      <c r="AA44" s="40" t="str">
        <f t="shared" ca="1" si="13"/>
        <v/>
      </c>
      <c r="AB44" s="40" t="str">
        <f t="shared" ca="1" si="13"/>
        <v/>
      </c>
      <c r="AC44" s="40" t="str">
        <f t="shared" ca="1" si="13"/>
        <v/>
      </c>
      <c r="AD44" s="40" t="str">
        <f t="shared" ca="1" si="13"/>
        <v/>
      </c>
      <c r="AE44" s="40" t="str">
        <f t="shared" ca="1" si="13"/>
        <v/>
      </c>
      <c r="AF44" s="40" t="str">
        <f t="shared" ca="1" si="13"/>
        <v/>
      </c>
      <c r="AG44" s="40" t="str">
        <f t="shared" ca="1" si="13"/>
        <v/>
      </c>
      <c r="AH44" s="40" t="str">
        <f t="shared" ca="1" si="13"/>
        <v/>
      </c>
      <c r="AI44" s="40" t="str">
        <f t="shared" ca="1" si="13"/>
        <v/>
      </c>
      <c r="AJ44" s="40" t="str">
        <f t="shared" ca="1" si="13"/>
        <v/>
      </c>
      <c r="AK44" s="40" t="str">
        <f t="shared" ca="1" si="13"/>
        <v/>
      </c>
      <c r="AL44" s="40" t="str">
        <f t="shared" ca="1" si="13"/>
        <v/>
      </c>
      <c r="AM44" s="40" t="str">
        <f t="shared" ca="1" si="13"/>
        <v/>
      </c>
      <c r="AN44" s="40" t="str">
        <f t="shared" ca="1" si="13"/>
        <v/>
      </c>
      <c r="AO44" s="40" t="str">
        <f t="shared" ca="1" si="13"/>
        <v/>
      </c>
      <c r="AP44" s="40" t="str">
        <f t="shared" ca="1" si="11"/>
        <v/>
      </c>
      <c r="AQ44" s="40" t="str">
        <f t="shared" ca="1" si="11"/>
        <v/>
      </c>
      <c r="AR44" s="40" t="str">
        <f t="shared" ca="1" si="11"/>
        <v/>
      </c>
      <c r="AS44" s="40" t="str">
        <f t="shared" ca="1" si="11"/>
        <v/>
      </c>
      <c r="AT44" s="40" t="str">
        <f t="shared" ca="1" si="11"/>
        <v/>
      </c>
      <c r="AU44" s="40" t="str">
        <f t="shared" ca="1" si="11"/>
        <v/>
      </c>
      <c r="AV44" s="40" t="str">
        <f t="shared" ca="1" si="11"/>
        <v/>
      </c>
      <c r="AW44" s="40" t="str">
        <f t="shared" ca="1" si="11"/>
        <v/>
      </c>
      <c r="AX44" s="40" t="str">
        <f t="shared" ca="1" si="11"/>
        <v/>
      </c>
      <c r="AY44" s="40" t="str">
        <f t="shared" ca="1" si="11"/>
        <v/>
      </c>
      <c r="AZ44" s="40" t="str">
        <f t="shared" ca="1" si="11"/>
        <v/>
      </c>
      <c r="BA44" s="40" t="str">
        <f t="shared" ca="1" si="11"/>
        <v/>
      </c>
      <c r="BB44" s="40" t="str">
        <f t="shared" ca="1" si="11"/>
        <v/>
      </c>
      <c r="BC44" s="40" t="str">
        <f t="shared" ca="1" si="11"/>
        <v/>
      </c>
      <c r="BD44" s="40" t="str">
        <f t="shared" ca="1" si="11"/>
        <v/>
      </c>
      <c r="BE44" s="40" t="str">
        <f t="shared" ca="1" si="14"/>
        <v/>
      </c>
      <c r="BF44" s="40" t="str">
        <f t="shared" ca="1" si="14"/>
        <v/>
      </c>
      <c r="BG44" s="40" t="str">
        <f t="shared" ca="1" si="14"/>
        <v/>
      </c>
      <c r="BH44" s="40" t="str">
        <f t="shared" ca="1" si="14"/>
        <v/>
      </c>
      <c r="BI44" s="40" t="str">
        <f t="shared" ca="1" si="14"/>
        <v/>
      </c>
      <c r="BJ44" s="40" t="str">
        <f t="shared" ca="1" si="14"/>
        <v/>
      </c>
      <c r="BK44" s="40" t="str">
        <f t="shared" ca="1" si="14"/>
        <v/>
      </c>
      <c r="BL44" s="40" t="str">
        <f t="shared" ca="1" si="14"/>
        <v/>
      </c>
      <c r="BM44" s="40" t="str">
        <f t="shared" ca="1" si="14"/>
        <v/>
      </c>
      <c r="BN44" s="24"/>
    </row>
    <row r="45" spans="1:66" s="1" customFormat="1" ht="40.15" customHeight="1" x14ac:dyDescent="0.25">
      <c r="A45" s="9"/>
      <c r="B45" s="19" t="s">
        <v>109</v>
      </c>
      <c r="C45" s="22" t="s">
        <v>110</v>
      </c>
      <c r="D45" s="19" t="s">
        <v>25</v>
      </c>
      <c r="E45" s="19" t="s">
        <v>53</v>
      </c>
      <c r="F45" s="19" t="s">
        <v>107</v>
      </c>
      <c r="G45" s="20">
        <f>IF(Milestones435[[#This Row],[Tipo]]="",G43,IF(Milestones435[[#This Row],[Tipo]]="Paralela",WORKDAY(VLOOKUP(F45,Milestones435[],6,FALSE),0),WORKDAY(VLOOKUP(F45,Milestones435[],6,FALSE),VLOOKUP(F45,Milestones435[],7,FALSE))))</f>
        <v>46220</v>
      </c>
      <c r="H45" s="21">
        <v>2</v>
      </c>
      <c r="I45" s="17"/>
      <c r="J45" s="40" t="str">
        <f t="shared" ca="1" si="15"/>
        <v/>
      </c>
      <c r="K45" s="40" t="str">
        <f t="shared" ca="1" si="15"/>
        <v/>
      </c>
      <c r="L45" s="40" t="str">
        <f t="shared" ca="1" si="15"/>
        <v/>
      </c>
      <c r="M45" s="40" t="str">
        <f t="shared" ca="1" si="15"/>
        <v/>
      </c>
      <c r="N45" s="40" t="str">
        <f t="shared" ca="1" si="15"/>
        <v/>
      </c>
      <c r="O45" s="40" t="str">
        <f t="shared" ca="1" si="15"/>
        <v/>
      </c>
      <c r="P45" s="40" t="str">
        <f t="shared" ca="1" si="15"/>
        <v/>
      </c>
      <c r="Q45" s="40" t="str">
        <f t="shared" ca="1" si="15"/>
        <v/>
      </c>
      <c r="R45" s="40" t="str">
        <f t="shared" ca="1" si="15"/>
        <v/>
      </c>
      <c r="S45" s="40" t="str">
        <f t="shared" ca="1" si="15"/>
        <v/>
      </c>
      <c r="T45" s="40" t="str">
        <f t="shared" ca="1" si="15"/>
        <v/>
      </c>
      <c r="U45" s="40" t="str">
        <f t="shared" ca="1" si="15"/>
        <v/>
      </c>
      <c r="V45" s="40" t="str">
        <f t="shared" ca="1" si="15"/>
        <v/>
      </c>
      <c r="W45" s="40" t="str">
        <f t="shared" ca="1" si="15"/>
        <v/>
      </c>
      <c r="X45" s="40" t="str">
        <f t="shared" ca="1" si="15"/>
        <v/>
      </c>
      <c r="Y45" s="40" t="str">
        <f t="shared" ca="1" si="15"/>
        <v/>
      </c>
      <c r="Z45" s="40" t="str">
        <f t="shared" ca="1" si="13"/>
        <v/>
      </c>
      <c r="AA45" s="40" t="str">
        <f t="shared" ca="1" si="13"/>
        <v/>
      </c>
      <c r="AB45" s="40" t="str">
        <f t="shared" ca="1" si="13"/>
        <v/>
      </c>
      <c r="AC45" s="40" t="str">
        <f t="shared" ca="1" si="13"/>
        <v/>
      </c>
      <c r="AD45" s="40" t="str">
        <f t="shared" ca="1" si="13"/>
        <v/>
      </c>
      <c r="AE45" s="40" t="str">
        <f t="shared" ca="1" si="13"/>
        <v/>
      </c>
      <c r="AF45" s="40" t="str">
        <f t="shared" ca="1" si="13"/>
        <v/>
      </c>
      <c r="AG45" s="40" t="str">
        <f t="shared" ca="1" si="13"/>
        <v/>
      </c>
      <c r="AH45" s="40" t="str">
        <f t="shared" ca="1" si="13"/>
        <v/>
      </c>
      <c r="AI45" s="40" t="str">
        <f t="shared" ca="1" si="13"/>
        <v/>
      </c>
      <c r="AJ45" s="40" t="str">
        <f t="shared" ca="1" si="13"/>
        <v/>
      </c>
      <c r="AK45" s="40" t="str">
        <f t="shared" ca="1" si="13"/>
        <v/>
      </c>
      <c r="AL45" s="40" t="str">
        <f t="shared" ca="1" si="13"/>
        <v/>
      </c>
      <c r="AM45" s="40" t="str">
        <f t="shared" ca="1" si="13"/>
        <v/>
      </c>
      <c r="AN45" s="40" t="str">
        <f t="shared" ca="1" si="13"/>
        <v/>
      </c>
      <c r="AO45" s="40" t="str">
        <f t="shared" ca="1" si="13"/>
        <v/>
      </c>
      <c r="AP45" s="40" t="str">
        <f t="shared" ca="1" si="11"/>
        <v/>
      </c>
      <c r="AQ45" s="40" t="str">
        <f t="shared" ca="1" si="11"/>
        <v/>
      </c>
      <c r="AR45" s="40" t="str">
        <f t="shared" ca="1" si="11"/>
        <v/>
      </c>
      <c r="AS45" s="40" t="str">
        <f t="shared" ca="1" si="11"/>
        <v/>
      </c>
      <c r="AT45" s="40" t="str">
        <f t="shared" ca="1" si="11"/>
        <v/>
      </c>
      <c r="AU45" s="40" t="str">
        <f t="shared" ca="1" si="11"/>
        <v/>
      </c>
      <c r="AV45" s="40" t="str">
        <f t="shared" ca="1" si="11"/>
        <v/>
      </c>
      <c r="AW45" s="40" t="str">
        <f t="shared" ca="1" si="11"/>
        <v/>
      </c>
      <c r="AX45" s="40" t="str">
        <f t="shared" ca="1" si="11"/>
        <v/>
      </c>
      <c r="AY45" s="40" t="str">
        <f t="shared" ca="1" si="11"/>
        <v/>
      </c>
      <c r="AZ45" s="40" t="str">
        <f t="shared" ca="1" si="11"/>
        <v/>
      </c>
      <c r="BA45" s="40" t="str">
        <f t="shared" ca="1" si="11"/>
        <v/>
      </c>
      <c r="BB45" s="40" t="str">
        <f t="shared" ca="1" si="11"/>
        <v/>
      </c>
      <c r="BC45" s="40" t="str">
        <f t="shared" ca="1" si="11"/>
        <v/>
      </c>
      <c r="BD45" s="40" t="str">
        <f t="shared" ca="1" si="11"/>
        <v/>
      </c>
      <c r="BE45" s="40" t="str">
        <f t="shared" ca="1" si="14"/>
        <v/>
      </c>
      <c r="BF45" s="40" t="str">
        <f t="shared" ca="1" si="14"/>
        <v/>
      </c>
      <c r="BG45" s="40" t="str">
        <f t="shared" ca="1" si="14"/>
        <v/>
      </c>
      <c r="BH45" s="40" t="str">
        <f t="shared" ca="1" si="14"/>
        <v/>
      </c>
      <c r="BI45" s="40" t="str">
        <f t="shared" ca="1" si="14"/>
        <v/>
      </c>
      <c r="BJ45" s="40" t="str">
        <f t="shared" ca="1" si="14"/>
        <v/>
      </c>
      <c r="BK45" s="40" t="str">
        <f t="shared" ca="1" si="14"/>
        <v/>
      </c>
      <c r="BL45" s="40" t="str">
        <f t="shared" ca="1" si="14"/>
        <v/>
      </c>
      <c r="BM45" s="40" t="str">
        <f t="shared" ca="1" si="14"/>
        <v/>
      </c>
      <c r="BN45" s="24"/>
    </row>
    <row r="46" spans="1:66" s="1" customFormat="1" ht="40.15" customHeight="1" x14ac:dyDescent="0.25">
      <c r="A46" s="9"/>
      <c r="B46" s="19" t="s">
        <v>112</v>
      </c>
      <c r="C46" s="103" t="s">
        <v>111</v>
      </c>
      <c r="D46" s="19"/>
      <c r="E46" s="19" t="s">
        <v>53</v>
      </c>
      <c r="F46" s="19" t="s">
        <v>109</v>
      </c>
      <c r="G46" s="20">
        <f>IF(Milestones435[[#This Row],[Tipo]]="",G44,IF(Milestones435[[#This Row],[Tipo]]="Paralela",WORKDAY(VLOOKUP(F46,Milestones435[],6,FALSE),0),WORKDAY(VLOOKUP(F46,Milestones435[],6,FALSE),VLOOKUP(F46,Milestones435[],7,FALSE))))</f>
        <v>46224</v>
      </c>
      <c r="H46" s="21"/>
      <c r="I46" s="17"/>
      <c r="J46" s="40" t="str">
        <f t="shared" ca="1" si="15"/>
        <v/>
      </c>
      <c r="K46" s="40" t="str">
        <f t="shared" ca="1" si="15"/>
        <v/>
      </c>
      <c r="L46" s="40" t="str">
        <f t="shared" ca="1" si="15"/>
        <v/>
      </c>
      <c r="M46" s="40" t="str">
        <f t="shared" ca="1" si="15"/>
        <v/>
      </c>
      <c r="N46" s="40" t="str">
        <f t="shared" ca="1" si="15"/>
        <v/>
      </c>
      <c r="O46" s="40" t="str">
        <f t="shared" ca="1" si="15"/>
        <v/>
      </c>
      <c r="P46" s="40" t="str">
        <f t="shared" ca="1" si="15"/>
        <v/>
      </c>
      <c r="Q46" s="40" t="str">
        <f t="shared" ca="1" si="15"/>
        <v/>
      </c>
      <c r="R46" s="40" t="str">
        <f t="shared" ca="1" si="15"/>
        <v/>
      </c>
      <c r="S46" s="40" t="str">
        <f t="shared" ca="1" si="15"/>
        <v/>
      </c>
      <c r="T46" s="40" t="str">
        <f t="shared" ca="1" si="15"/>
        <v/>
      </c>
      <c r="U46" s="40" t="str">
        <f t="shared" ca="1" si="15"/>
        <v/>
      </c>
      <c r="V46" s="40" t="str">
        <f t="shared" ca="1" si="15"/>
        <v/>
      </c>
      <c r="W46" s="40" t="str">
        <f t="shared" ca="1" si="15"/>
        <v/>
      </c>
      <c r="X46" s="40" t="str">
        <f t="shared" ca="1" si="15"/>
        <v/>
      </c>
      <c r="Y46" s="40" t="str">
        <f t="shared" ca="1" si="15"/>
        <v/>
      </c>
      <c r="Z46" s="40" t="str">
        <f t="shared" ca="1" si="13"/>
        <v/>
      </c>
      <c r="AA46" s="40" t="str">
        <f t="shared" ca="1" si="13"/>
        <v/>
      </c>
      <c r="AB46" s="40" t="str">
        <f t="shared" ca="1" si="13"/>
        <v/>
      </c>
      <c r="AC46" s="40" t="str">
        <f t="shared" ca="1" si="13"/>
        <v/>
      </c>
      <c r="AD46" s="40" t="str">
        <f t="shared" ca="1" si="13"/>
        <v/>
      </c>
      <c r="AE46" s="40" t="str">
        <f t="shared" ca="1" si="13"/>
        <v/>
      </c>
      <c r="AF46" s="40" t="str">
        <f t="shared" ca="1" si="13"/>
        <v/>
      </c>
      <c r="AG46" s="40" t="str">
        <f t="shared" ca="1" si="13"/>
        <v/>
      </c>
      <c r="AH46" s="40" t="str">
        <f t="shared" ca="1" si="13"/>
        <v/>
      </c>
      <c r="AI46" s="40" t="str">
        <f t="shared" ca="1" si="13"/>
        <v/>
      </c>
      <c r="AJ46" s="40" t="str">
        <f t="shared" ca="1" si="13"/>
        <v/>
      </c>
      <c r="AK46" s="40" t="str">
        <f t="shared" ca="1" si="13"/>
        <v/>
      </c>
      <c r="AL46" s="40" t="str">
        <f t="shared" ca="1" si="13"/>
        <v/>
      </c>
      <c r="AM46" s="40" t="str">
        <f t="shared" ca="1" si="13"/>
        <v/>
      </c>
      <c r="AN46" s="40" t="str">
        <f t="shared" ca="1" si="13"/>
        <v/>
      </c>
      <c r="AO46" s="40" t="str">
        <f t="shared" ref="Z46:AO50" ca="1" si="16">IF(
    AND(
        AO$7&gt;=$G46,
        AO$7&lt;=WORKDAY($G46,$H46-1),
        WEEKDAY(AO$7,2)&lt;=5
    ),
    _xlfn.SWITCH($D46,
        "Objetivo",2,
        "Marco",1,
        ""
    ),
    ""
)</f>
        <v/>
      </c>
      <c r="AP46" s="40" t="str">
        <f t="shared" ca="1" si="11"/>
        <v/>
      </c>
      <c r="AQ46" s="40" t="str">
        <f t="shared" ca="1" si="11"/>
        <v/>
      </c>
      <c r="AR46" s="40" t="str">
        <f t="shared" ca="1" si="11"/>
        <v/>
      </c>
      <c r="AS46" s="40" t="str">
        <f t="shared" ca="1" si="11"/>
        <v/>
      </c>
      <c r="AT46" s="40" t="str">
        <f t="shared" ca="1" si="11"/>
        <v/>
      </c>
      <c r="AU46" s="40" t="str">
        <f t="shared" ca="1" si="11"/>
        <v/>
      </c>
      <c r="AV46" s="40" t="str">
        <f t="shared" ca="1" si="11"/>
        <v/>
      </c>
      <c r="AW46" s="40" t="str">
        <f t="shared" ca="1" si="11"/>
        <v/>
      </c>
      <c r="AX46" s="40" t="str">
        <f t="shared" ca="1" si="11"/>
        <v/>
      </c>
      <c r="AY46" s="40" t="str">
        <f t="shared" ca="1" si="11"/>
        <v/>
      </c>
      <c r="AZ46" s="40" t="str">
        <f t="shared" ca="1" si="11"/>
        <v/>
      </c>
      <c r="BA46" s="40" t="str">
        <f t="shared" ca="1" si="11"/>
        <v/>
      </c>
      <c r="BB46" s="40" t="str">
        <f t="shared" ca="1" si="11"/>
        <v/>
      </c>
      <c r="BC46" s="40" t="str">
        <f t="shared" ca="1" si="11"/>
        <v/>
      </c>
      <c r="BD46" s="40" t="str">
        <f t="shared" ref="AP46:BE50" ca="1" si="17">IF(
    AND(
        BD$7&gt;=$G46,
        BD$7&lt;=WORKDAY($G46,$H46-1),
        WEEKDAY(BD$7,2)&lt;=5
    ),
    _xlfn.SWITCH($D46,
        "Objetivo",2,
        "Marco",1,
        ""
    ),
    ""
)</f>
        <v/>
      </c>
      <c r="BE46" s="40" t="str">
        <f t="shared" ca="1" si="14"/>
        <v/>
      </c>
      <c r="BF46" s="40" t="str">
        <f t="shared" ca="1" si="14"/>
        <v/>
      </c>
      <c r="BG46" s="40" t="str">
        <f t="shared" ca="1" si="14"/>
        <v/>
      </c>
      <c r="BH46" s="40" t="str">
        <f t="shared" ca="1" si="14"/>
        <v/>
      </c>
      <c r="BI46" s="40" t="str">
        <f t="shared" ca="1" si="14"/>
        <v/>
      </c>
      <c r="BJ46" s="40" t="str">
        <f t="shared" ca="1" si="14"/>
        <v/>
      </c>
      <c r="BK46" s="40" t="str">
        <f t="shared" ca="1" si="14"/>
        <v/>
      </c>
      <c r="BL46" s="40" t="str">
        <f t="shared" ca="1" si="14"/>
        <v/>
      </c>
      <c r="BM46" s="40" t="str">
        <f t="shared" ca="1" si="14"/>
        <v/>
      </c>
      <c r="BN46" s="24"/>
    </row>
    <row r="47" spans="1:66" s="1" customFormat="1" ht="40.15" customHeight="1" x14ac:dyDescent="0.25">
      <c r="A47" s="9"/>
      <c r="B47" s="19" t="s">
        <v>113</v>
      </c>
      <c r="C47" s="22" t="s">
        <v>114</v>
      </c>
      <c r="D47" s="19" t="s">
        <v>20</v>
      </c>
      <c r="E47" s="19" t="s">
        <v>54</v>
      </c>
      <c r="F47" s="19" t="s">
        <v>112</v>
      </c>
      <c r="G47" s="20">
        <f>IF(Milestones435[[#This Row],[Tipo]]="",G45,IF(Milestones435[[#This Row],[Tipo]]="Paralela",WORKDAY(VLOOKUP(F47,Milestones435[],6,FALSE),0),WORKDAY(VLOOKUP(F47,Milestones435[],6,FALSE),VLOOKUP(F47,Milestones435[],7,FALSE))))</f>
        <v>46224</v>
      </c>
      <c r="H47" s="21">
        <v>2</v>
      </c>
      <c r="I47" s="17"/>
      <c r="J47" s="40" t="str">
        <f t="shared" ca="1" si="15"/>
        <v/>
      </c>
      <c r="K47" s="40" t="str">
        <f t="shared" ca="1" si="15"/>
        <v/>
      </c>
      <c r="L47" s="40" t="str">
        <f t="shared" ca="1" si="15"/>
        <v/>
      </c>
      <c r="M47" s="40" t="str">
        <f t="shared" ca="1" si="15"/>
        <v/>
      </c>
      <c r="N47" s="40" t="str">
        <f t="shared" ca="1" si="15"/>
        <v/>
      </c>
      <c r="O47" s="40" t="str">
        <f t="shared" ca="1" si="15"/>
        <v/>
      </c>
      <c r="P47" s="40" t="str">
        <f t="shared" ca="1" si="15"/>
        <v/>
      </c>
      <c r="Q47" s="40" t="str">
        <f t="shared" ca="1" si="15"/>
        <v/>
      </c>
      <c r="R47" s="40" t="str">
        <f t="shared" ca="1" si="15"/>
        <v/>
      </c>
      <c r="S47" s="40" t="str">
        <f t="shared" ca="1" si="15"/>
        <v/>
      </c>
      <c r="T47" s="40" t="str">
        <f t="shared" ca="1" si="15"/>
        <v/>
      </c>
      <c r="U47" s="40" t="str">
        <f t="shared" ca="1" si="15"/>
        <v/>
      </c>
      <c r="V47" s="40" t="str">
        <f t="shared" ca="1" si="15"/>
        <v/>
      </c>
      <c r="W47" s="40" t="str">
        <f t="shared" ca="1" si="15"/>
        <v/>
      </c>
      <c r="X47" s="40" t="str">
        <f t="shared" ca="1" si="15"/>
        <v/>
      </c>
      <c r="Y47" s="40" t="str">
        <f t="shared" ca="1" si="15"/>
        <v/>
      </c>
      <c r="Z47" s="40" t="str">
        <f t="shared" ca="1" si="16"/>
        <v/>
      </c>
      <c r="AA47" s="40" t="str">
        <f t="shared" ca="1" si="16"/>
        <v/>
      </c>
      <c r="AB47" s="40" t="str">
        <f t="shared" ca="1" si="16"/>
        <v/>
      </c>
      <c r="AC47" s="40" t="str">
        <f t="shared" ca="1" si="16"/>
        <v/>
      </c>
      <c r="AD47" s="40" t="str">
        <f t="shared" ca="1" si="16"/>
        <v/>
      </c>
      <c r="AE47" s="40" t="str">
        <f t="shared" ca="1" si="16"/>
        <v/>
      </c>
      <c r="AF47" s="40" t="str">
        <f t="shared" ca="1" si="16"/>
        <v/>
      </c>
      <c r="AG47" s="40" t="str">
        <f t="shared" ca="1" si="16"/>
        <v/>
      </c>
      <c r="AH47" s="40" t="str">
        <f t="shared" ca="1" si="16"/>
        <v/>
      </c>
      <c r="AI47" s="40" t="str">
        <f t="shared" ca="1" si="16"/>
        <v/>
      </c>
      <c r="AJ47" s="40" t="str">
        <f t="shared" ca="1" si="16"/>
        <v/>
      </c>
      <c r="AK47" s="40" t="str">
        <f t="shared" ca="1" si="16"/>
        <v/>
      </c>
      <c r="AL47" s="40" t="str">
        <f t="shared" ca="1" si="16"/>
        <v/>
      </c>
      <c r="AM47" s="40" t="str">
        <f t="shared" ca="1" si="16"/>
        <v/>
      </c>
      <c r="AN47" s="40" t="str">
        <f t="shared" ca="1" si="16"/>
        <v/>
      </c>
      <c r="AO47" s="40" t="str">
        <f t="shared" ca="1" si="16"/>
        <v/>
      </c>
      <c r="AP47" s="40" t="str">
        <f t="shared" ca="1" si="17"/>
        <v/>
      </c>
      <c r="AQ47" s="40" t="str">
        <f t="shared" ca="1" si="17"/>
        <v/>
      </c>
      <c r="AR47" s="40" t="str">
        <f t="shared" ca="1" si="17"/>
        <v/>
      </c>
      <c r="AS47" s="40" t="str">
        <f t="shared" ca="1" si="17"/>
        <v/>
      </c>
      <c r="AT47" s="40" t="str">
        <f t="shared" ca="1" si="17"/>
        <v/>
      </c>
      <c r="AU47" s="40" t="str">
        <f t="shared" ca="1" si="17"/>
        <v/>
      </c>
      <c r="AV47" s="40" t="str">
        <f t="shared" ca="1" si="17"/>
        <v/>
      </c>
      <c r="AW47" s="40" t="str">
        <f t="shared" ca="1" si="17"/>
        <v/>
      </c>
      <c r="AX47" s="40" t="str">
        <f t="shared" ca="1" si="17"/>
        <v/>
      </c>
      <c r="AY47" s="40" t="str">
        <f t="shared" ca="1" si="17"/>
        <v/>
      </c>
      <c r="AZ47" s="40" t="str">
        <f t="shared" ca="1" si="17"/>
        <v/>
      </c>
      <c r="BA47" s="40" t="str">
        <f t="shared" ca="1" si="17"/>
        <v/>
      </c>
      <c r="BB47" s="40" t="str">
        <f t="shared" ca="1" si="17"/>
        <v/>
      </c>
      <c r="BC47" s="40" t="str">
        <f t="shared" ca="1" si="17"/>
        <v/>
      </c>
      <c r="BD47" s="40" t="str">
        <f t="shared" ca="1" si="17"/>
        <v/>
      </c>
      <c r="BE47" s="40" t="str">
        <f t="shared" ca="1" si="14"/>
        <v/>
      </c>
      <c r="BF47" s="40">
        <f t="shared" ca="1" si="14"/>
        <v>2</v>
      </c>
      <c r="BG47" s="40">
        <f t="shared" ca="1" si="14"/>
        <v>2</v>
      </c>
      <c r="BH47" s="40" t="str">
        <f t="shared" ca="1" si="14"/>
        <v/>
      </c>
      <c r="BI47" s="40" t="str">
        <f t="shared" ca="1" si="14"/>
        <v/>
      </c>
      <c r="BJ47" s="40" t="str">
        <f t="shared" ca="1" si="14"/>
        <v/>
      </c>
      <c r="BK47" s="40" t="str">
        <f t="shared" ca="1" si="14"/>
        <v/>
      </c>
      <c r="BL47" s="40" t="str">
        <f t="shared" ca="1" si="14"/>
        <v/>
      </c>
      <c r="BM47" s="40" t="str">
        <f t="shared" ca="1" si="14"/>
        <v/>
      </c>
      <c r="BN47" s="24"/>
    </row>
    <row r="48" spans="1:66" s="1" customFormat="1" ht="40.15" customHeight="1" x14ac:dyDescent="0.25">
      <c r="A48" s="9"/>
      <c r="B48" s="19" t="s">
        <v>115</v>
      </c>
      <c r="C48" s="22" t="s">
        <v>116</v>
      </c>
      <c r="D48" s="19" t="s">
        <v>20</v>
      </c>
      <c r="E48" s="19" t="s">
        <v>54</v>
      </c>
      <c r="F48" s="19" t="s">
        <v>113</v>
      </c>
      <c r="G48" s="20">
        <f>IF(Milestones435[[#This Row],[Tipo]]="",G46,IF(Milestones435[[#This Row],[Tipo]]="Paralela",WORKDAY(VLOOKUP(F48,Milestones435[],6,FALSE),0),WORKDAY(VLOOKUP(F48,Milestones435[],6,FALSE),VLOOKUP(F48,Milestones435[],7,FALSE))))</f>
        <v>46224</v>
      </c>
      <c r="H48" s="21">
        <v>2</v>
      </c>
      <c r="I48" s="17"/>
      <c r="J48" s="40" t="str">
        <f t="shared" ca="1" si="15"/>
        <v/>
      </c>
      <c r="K48" s="40" t="str">
        <f t="shared" ca="1" si="15"/>
        <v/>
      </c>
      <c r="L48" s="40" t="str">
        <f t="shared" ca="1" si="15"/>
        <v/>
      </c>
      <c r="M48" s="40" t="str">
        <f t="shared" ca="1" si="15"/>
        <v/>
      </c>
      <c r="N48" s="40" t="str">
        <f t="shared" ca="1" si="15"/>
        <v/>
      </c>
      <c r="O48" s="40" t="str">
        <f t="shared" ca="1" si="15"/>
        <v/>
      </c>
      <c r="P48" s="40" t="str">
        <f t="shared" ca="1" si="15"/>
        <v/>
      </c>
      <c r="Q48" s="40" t="str">
        <f t="shared" ca="1" si="15"/>
        <v/>
      </c>
      <c r="R48" s="40" t="str">
        <f t="shared" ca="1" si="15"/>
        <v/>
      </c>
      <c r="S48" s="40" t="str">
        <f t="shared" ca="1" si="15"/>
        <v/>
      </c>
      <c r="T48" s="40" t="str">
        <f t="shared" ca="1" si="15"/>
        <v/>
      </c>
      <c r="U48" s="40" t="str">
        <f t="shared" ca="1" si="15"/>
        <v/>
      </c>
      <c r="V48" s="40" t="str">
        <f t="shared" ca="1" si="15"/>
        <v/>
      </c>
      <c r="W48" s="40" t="str">
        <f t="shared" ca="1" si="15"/>
        <v/>
      </c>
      <c r="X48" s="40" t="str">
        <f t="shared" ca="1" si="15"/>
        <v/>
      </c>
      <c r="Y48" s="40" t="str">
        <f t="shared" ca="1" si="15"/>
        <v/>
      </c>
      <c r="Z48" s="40" t="str">
        <f t="shared" ca="1" si="16"/>
        <v/>
      </c>
      <c r="AA48" s="40" t="str">
        <f t="shared" ca="1" si="16"/>
        <v/>
      </c>
      <c r="AB48" s="40" t="str">
        <f t="shared" ca="1" si="16"/>
        <v/>
      </c>
      <c r="AC48" s="40" t="str">
        <f t="shared" ca="1" si="16"/>
        <v/>
      </c>
      <c r="AD48" s="40" t="str">
        <f t="shared" ca="1" si="16"/>
        <v/>
      </c>
      <c r="AE48" s="40" t="str">
        <f t="shared" ca="1" si="16"/>
        <v/>
      </c>
      <c r="AF48" s="40" t="str">
        <f t="shared" ca="1" si="16"/>
        <v/>
      </c>
      <c r="AG48" s="40" t="str">
        <f t="shared" ca="1" si="16"/>
        <v/>
      </c>
      <c r="AH48" s="40" t="str">
        <f t="shared" ca="1" si="16"/>
        <v/>
      </c>
      <c r="AI48" s="40" t="str">
        <f t="shared" ca="1" si="16"/>
        <v/>
      </c>
      <c r="AJ48" s="40" t="str">
        <f t="shared" ca="1" si="16"/>
        <v/>
      </c>
      <c r="AK48" s="40" t="str">
        <f t="shared" ca="1" si="16"/>
        <v/>
      </c>
      <c r="AL48" s="40" t="str">
        <f t="shared" ca="1" si="16"/>
        <v/>
      </c>
      <c r="AM48" s="40" t="str">
        <f t="shared" ca="1" si="16"/>
        <v/>
      </c>
      <c r="AN48" s="40" t="str">
        <f t="shared" ca="1" si="16"/>
        <v/>
      </c>
      <c r="AO48" s="40" t="str">
        <f t="shared" ca="1" si="16"/>
        <v/>
      </c>
      <c r="AP48" s="40" t="str">
        <f t="shared" ca="1" si="17"/>
        <v/>
      </c>
      <c r="AQ48" s="40" t="str">
        <f t="shared" ca="1" si="17"/>
        <v/>
      </c>
      <c r="AR48" s="40" t="str">
        <f t="shared" ca="1" si="17"/>
        <v/>
      </c>
      <c r="AS48" s="40" t="str">
        <f t="shared" ca="1" si="17"/>
        <v/>
      </c>
      <c r="AT48" s="40" t="str">
        <f t="shared" ca="1" si="17"/>
        <v/>
      </c>
      <c r="AU48" s="40" t="str">
        <f t="shared" ca="1" si="17"/>
        <v/>
      </c>
      <c r="AV48" s="40" t="str">
        <f t="shared" ca="1" si="17"/>
        <v/>
      </c>
      <c r="AW48" s="40" t="str">
        <f t="shared" ca="1" si="17"/>
        <v/>
      </c>
      <c r="AX48" s="40" t="str">
        <f t="shared" ca="1" si="17"/>
        <v/>
      </c>
      <c r="AY48" s="40" t="str">
        <f t="shared" ca="1" si="17"/>
        <v/>
      </c>
      <c r="AZ48" s="40" t="str">
        <f t="shared" ca="1" si="17"/>
        <v/>
      </c>
      <c r="BA48" s="40" t="str">
        <f t="shared" ca="1" si="17"/>
        <v/>
      </c>
      <c r="BB48" s="40" t="str">
        <f t="shared" ca="1" si="17"/>
        <v/>
      </c>
      <c r="BC48" s="40" t="str">
        <f t="shared" ca="1" si="17"/>
        <v/>
      </c>
      <c r="BD48" s="40" t="str">
        <f t="shared" ca="1" si="17"/>
        <v/>
      </c>
      <c r="BE48" s="40" t="str">
        <f t="shared" ca="1" si="17"/>
        <v/>
      </c>
      <c r="BF48" s="40">
        <f t="shared" ca="1" si="14"/>
        <v>2</v>
      </c>
      <c r="BG48" s="40">
        <f t="shared" ca="1" si="14"/>
        <v>2</v>
      </c>
      <c r="BH48" s="40" t="str">
        <f t="shared" ca="1" si="14"/>
        <v/>
      </c>
      <c r="BI48" s="40" t="str">
        <f t="shared" ca="1" si="14"/>
        <v/>
      </c>
      <c r="BJ48" s="40" t="str">
        <f t="shared" ca="1" si="14"/>
        <v/>
      </c>
      <c r="BK48" s="40" t="str">
        <f t="shared" ca="1" si="14"/>
        <v/>
      </c>
      <c r="BL48" s="40" t="str">
        <f t="shared" ca="1" si="14"/>
        <v/>
      </c>
      <c r="BM48" s="40" t="str">
        <f t="shared" ca="1" si="14"/>
        <v/>
      </c>
      <c r="BN48" s="24"/>
    </row>
    <row r="49" spans="1:66" s="1" customFormat="1" ht="40.15" customHeight="1" x14ac:dyDescent="0.25">
      <c r="A49" s="9"/>
      <c r="B49" s="19" t="s">
        <v>119</v>
      </c>
      <c r="C49" s="22" t="s">
        <v>117</v>
      </c>
      <c r="D49" s="19" t="s">
        <v>20</v>
      </c>
      <c r="E49" s="19" t="s">
        <v>54</v>
      </c>
      <c r="F49" s="19" t="s">
        <v>113</v>
      </c>
      <c r="G49" s="20">
        <f>IF(Milestones435[[#This Row],[Tipo]]="",G47,IF(Milestones435[[#This Row],[Tipo]]="Paralela",WORKDAY(VLOOKUP(F49,Milestones435[],6,FALSE),0),WORKDAY(VLOOKUP(F49,Milestones435[],6,FALSE),VLOOKUP(F49,Milestones435[],7,FALSE))))</f>
        <v>46224</v>
      </c>
      <c r="H49" s="21">
        <v>2</v>
      </c>
      <c r="I49" s="17"/>
      <c r="J49" s="40" t="str">
        <f t="shared" ca="1" si="15"/>
        <v/>
      </c>
      <c r="K49" s="40" t="str">
        <f t="shared" ca="1" si="15"/>
        <v/>
      </c>
      <c r="L49" s="40" t="str">
        <f t="shared" ca="1" si="15"/>
        <v/>
      </c>
      <c r="M49" s="40" t="str">
        <f t="shared" ca="1" si="15"/>
        <v/>
      </c>
      <c r="N49" s="40" t="str">
        <f t="shared" ca="1" si="15"/>
        <v/>
      </c>
      <c r="O49" s="40" t="str">
        <f t="shared" ca="1" si="15"/>
        <v/>
      </c>
      <c r="P49" s="40" t="str">
        <f t="shared" ca="1" si="15"/>
        <v/>
      </c>
      <c r="Q49" s="40" t="str">
        <f t="shared" ca="1" si="15"/>
        <v/>
      </c>
      <c r="R49" s="40" t="str">
        <f t="shared" ca="1" si="15"/>
        <v/>
      </c>
      <c r="S49" s="40" t="str">
        <f t="shared" ca="1" si="15"/>
        <v/>
      </c>
      <c r="T49" s="40" t="str">
        <f t="shared" ca="1" si="15"/>
        <v/>
      </c>
      <c r="U49" s="40" t="str">
        <f t="shared" ca="1" si="15"/>
        <v/>
      </c>
      <c r="V49" s="40" t="str">
        <f t="shared" ca="1" si="15"/>
        <v/>
      </c>
      <c r="W49" s="40" t="str">
        <f t="shared" ca="1" si="15"/>
        <v/>
      </c>
      <c r="X49" s="40" t="str">
        <f t="shared" ca="1" si="15"/>
        <v/>
      </c>
      <c r="Y49" s="40" t="str">
        <f t="shared" ca="1" si="15"/>
        <v/>
      </c>
      <c r="Z49" s="40" t="str">
        <f t="shared" ca="1" si="16"/>
        <v/>
      </c>
      <c r="AA49" s="40" t="str">
        <f t="shared" ca="1" si="16"/>
        <v/>
      </c>
      <c r="AB49" s="40" t="str">
        <f t="shared" ca="1" si="16"/>
        <v/>
      </c>
      <c r="AC49" s="40" t="str">
        <f t="shared" ca="1" si="16"/>
        <v/>
      </c>
      <c r="AD49" s="40" t="str">
        <f t="shared" ca="1" si="16"/>
        <v/>
      </c>
      <c r="AE49" s="40" t="str">
        <f t="shared" ca="1" si="16"/>
        <v/>
      </c>
      <c r="AF49" s="40" t="str">
        <f t="shared" ca="1" si="16"/>
        <v/>
      </c>
      <c r="AG49" s="40" t="str">
        <f t="shared" ca="1" si="16"/>
        <v/>
      </c>
      <c r="AH49" s="40" t="str">
        <f t="shared" ca="1" si="16"/>
        <v/>
      </c>
      <c r="AI49" s="40" t="str">
        <f t="shared" ca="1" si="16"/>
        <v/>
      </c>
      <c r="AJ49" s="40" t="str">
        <f t="shared" ca="1" si="16"/>
        <v/>
      </c>
      <c r="AK49" s="40" t="str">
        <f t="shared" ca="1" si="16"/>
        <v/>
      </c>
      <c r="AL49" s="40" t="str">
        <f t="shared" ca="1" si="16"/>
        <v/>
      </c>
      <c r="AM49" s="40" t="str">
        <f t="shared" ca="1" si="16"/>
        <v/>
      </c>
      <c r="AN49" s="40" t="str">
        <f t="shared" ca="1" si="16"/>
        <v/>
      </c>
      <c r="AO49" s="40" t="str">
        <f t="shared" ca="1" si="16"/>
        <v/>
      </c>
      <c r="AP49" s="40" t="str">
        <f t="shared" ca="1" si="17"/>
        <v/>
      </c>
      <c r="AQ49" s="40" t="str">
        <f t="shared" ca="1" si="17"/>
        <v/>
      </c>
      <c r="AR49" s="40" t="str">
        <f t="shared" ca="1" si="17"/>
        <v/>
      </c>
      <c r="AS49" s="40" t="str">
        <f t="shared" ca="1" si="17"/>
        <v/>
      </c>
      <c r="AT49" s="40" t="str">
        <f t="shared" ca="1" si="17"/>
        <v/>
      </c>
      <c r="AU49" s="40" t="str">
        <f t="shared" ca="1" si="17"/>
        <v/>
      </c>
      <c r="AV49" s="40" t="str">
        <f t="shared" ca="1" si="17"/>
        <v/>
      </c>
      <c r="AW49" s="40" t="str">
        <f t="shared" ca="1" si="17"/>
        <v/>
      </c>
      <c r="AX49" s="40" t="str">
        <f t="shared" ca="1" si="17"/>
        <v/>
      </c>
      <c r="AY49" s="40" t="str">
        <f t="shared" ca="1" si="17"/>
        <v/>
      </c>
      <c r="AZ49" s="40" t="str">
        <f t="shared" ca="1" si="17"/>
        <v/>
      </c>
      <c r="BA49" s="40" t="str">
        <f t="shared" ca="1" si="17"/>
        <v/>
      </c>
      <c r="BB49" s="40" t="str">
        <f t="shared" ca="1" si="17"/>
        <v/>
      </c>
      <c r="BC49" s="40" t="str">
        <f t="shared" ca="1" si="17"/>
        <v/>
      </c>
      <c r="BD49" s="40" t="str">
        <f t="shared" ca="1" si="17"/>
        <v/>
      </c>
      <c r="BE49" s="40" t="str">
        <f t="shared" ca="1" si="17"/>
        <v/>
      </c>
      <c r="BF49" s="40">
        <f t="shared" ca="1" si="14"/>
        <v>2</v>
      </c>
      <c r="BG49" s="40">
        <f t="shared" ca="1" si="14"/>
        <v>2</v>
      </c>
      <c r="BH49" s="40" t="str">
        <f t="shared" ca="1" si="14"/>
        <v/>
      </c>
      <c r="BI49" s="40" t="str">
        <f t="shared" ca="1" si="14"/>
        <v/>
      </c>
      <c r="BJ49" s="40" t="str">
        <f t="shared" ca="1" si="14"/>
        <v/>
      </c>
      <c r="BK49" s="40" t="str">
        <f t="shared" ca="1" si="14"/>
        <v/>
      </c>
      <c r="BL49" s="40" t="str">
        <f t="shared" ca="1" si="14"/>
        <v/>
      </c>
      <c r="BM49" s="40" t="str">
        <f t="shared" ca="1" si="14"/>
        <v/>
      </c>
      <c r="BN49" s="24"/>
    </row>
    <row r="50" spans="1:66" s="1" customFormat="1" ht="40.15" customHeight="1" x14ac:dyDescent="0.25">
      <c r="A50" s="9"/>
      <c r="B50" s="19" t="s">
        <v>120</v>
      </c>
      <c r="C50" s="22" t="s">
        <v>118</v>
      </c>
      <c r="D50" s="19" t="s">
        <v>20</v>
      </c>
      <c r="E50" s="19" t="s">
        <v>54</v>
      </c>
      <c r="F50" s="19" t="s">
        <v>113</v>
      </c>
      <c r="G50" s="20">
        <f>IF(Milestones435[[#This Row],[Tipo]]="",G48,IF(Milestones435[[#This Row],[Tipo]]="Paralela",WORKDAY(VLOOKUP(F50,Milestones435[],6,FALSE),0),WORKDAY(VLOOKUP(F50,Milestones435[],6,FALSE),VLOOKUP(F50,Milestones435[],7,FALSE))))</f>
        <v>46224</v>
      </c>
      <c r="H50" s="21">
        <v>2</v>
      </c>
      <c r="I50" s="17"/>
      <c r="J50" s="40" t="str">
        <f t="shared" ca="1" si="15"/>
        <v/>
      </c>
      <c r="K50" s="40" t="str">
        <f t="shared" ca="1" si="15"/>
        <v/>
      </c>
      <c r="L50" s="40" t="str">
        <f t="shared" ca="1" si="15"/>
        <v/>
      </c>
      <c r="M50" s="40" t="str">
        <f t="shared" ca="1" si="15"/>
        <v/>
      </c>
      <c r="N50" s="40" t="str">
        <f t="shared" ca="1" si="15"/>
        <v/>
      </c>
      <c r="O50" s="40" t="str">
        <f t="shared" ca="1" si="15"/>
        <v/>
      </c>
      <c r="P50" s="40" t="str">
        <f t="shared" ca="1" si="15"/>
        <v/>
      </c>
      <c r="Q50" s="40" t="str">
        <f t="shared" ca="1" si="15"/>
        <v/>
      </c>
      <c r="R50" s="40" t="str">
        <f t="shared" ca="1" si="15"/>
        <v/>
      </c>
      <c r="S50" s="40" t="str">
        <f t="shared" ca="1" si="15"/>
        <v/>
      </c>
      <c r="T50" s="40" t="str">
        <f t="shared" ca="1" si="15"/>
        <v/>
      </c>
      <c r="U50" s="40" t="str">
        <f t="shared" ca="1" si="15"/>
        <v/>
      </c>
      <c r="V50" s="40" t="str">
        <f t="shared" ca="1" si="15"/>
        <v/>
      </c>
      <c r="W50" s="40" t="str">
        <f t="shared" ca="1" si="15"/>
        <v/>
      </c>
      <c r="X50" s="40" t="str">
        <f t="shared" ca="1" si="15"/>
        <v/>
      </c>
      <c r="Y50" s="40" t="str">
        <f t="shared" ca="1" si="15"/>
        <v/>
      </c>
      <c r="Z50" s="40" t="str">
        <f t="shared" ca="1" si="16"/>
        <v/>
      </c>
      <c r="AA50" s="40" t="str">
        <f t="shared" ca="1" si="16"/>
        <v/>
      </c>
      <c r="AB50" s="40" t="str">
        <f t="shared" ca="1" si="16"/>
        <v/>
      </c>
      <c r="AC50" s="40" t="str">
        <f t="shared" ca="1" si="16"/>
        <v/>
      </c>
      <c r="AD50" s="40" t="str">
        <f t="shared" ca="1" si="16"/>
        <v/>
      </c>
      <c r="AE50" s="40" t="str">
        <f t="shared" ca="1" si="16"/>
        <v/>
      </c>
      <c r="AF50" s="40" t="str">
        <f t="shared" ca="1" si="16"/>
        <v/>
      </c>
      <c r="AG50" s="40" t="str">
        <f t="shared" ca="1" si="16"/>
        <v/>
      </c>
      <c r="AH50" s="40" t="str">
        <f t="shared" ca="1" si="16"/>
        <v/>
      </c>
      <c r="AI50" s="40" t="str">
        <f t="shared" ca="1" si="16"/>
        <v/>
      </c>
      <c r="AJ50" s="40" t="str">
        <f t="shared" ca="1" si="16"/>
        <v/>
      </c>
      <c r="AK50" s="40" t="str">
        <f t="shared" ca="1" si="16"/>
        <v/>
      </c>
      <c r="AL50" s="40" t="str">
        <f t="shared" ca="1" si="16"/>
        <v/>
      </c>
      <c r="AM50" s="40" t="str">
        <f t="shared" ca="1" si="16"/>
        <v/>
      </c>
      <c r="AN50" s="40" t="str">
        <f t="shared" ca="1" si="16"/>
        <v/>
      </c>
      <c r="AO50" s="40" t="str">
        <f t="shared" ca="1" si="16"/>
        <v/>
      </c>
      <c r="AP50" s="40" t="str">
        <f t="shared" ca="1" si="17"/>
        <v/>
      </c>
      <c r="AQ50" s="40" t="str">
        <f t="shared" ca="1" si="17"/>
        <v/>
      </c>
      <c r="AR50" s="40" t="str">
        <f t="shared" ca="1" si="17"/>
        <v/>
      </c>
      <c r="AS50" s="40" t="str">
        <f t="shared" ca="1" si="17"/>
        <v/>
      </c>
      <c r="AT50" s="40" t="str">
        <f t="shared" ca="1" si="17"/>
        <v/>
      </c>
      <c r="AU50" s="40" t="str">
        <f t="shared" ca="1" si="17"/>
        <v/>
      </c>
      <c r="AV50" s="40" t="str">
        <f t="shared" ca="1" si="17"/>
        <v/>
      </c>
      <c r="AW50" s="40" t="str">
        <f t="shared" ca="1" si="17"/>
        <v/>
      </c>
      <c r="AX50" s="40" t="str">
        <f t="shared" ca="1" si="17"/>
        <v/>
      </c>
      <c r="AY50" s="40" t="str">
        <f t="shared" ca="1" si="17"/>
        <v/>
      </c>
      <c r="AZ50" s="40" t="str">
        <f t="shared" ca="1" si="17"/>
        <v/>
      </c>
      <c r="BA50" s="40" t="str">
        <f t="shared" ca="1" si="17"/>
        <v/>
      </c>
      <c r="BB50" s="40" t="str">
        <f t="shared" ca="1" si="17"/>
        <v/>
      </c>
      <c r="BC50" s="40" t="str">
        <f t="shared" ca="1" si="17"/>
        <v/>
      </c>
      <c r="BD50" s="40" t="str">
        <f t="shared" ca="1" si="17"/>
        <v/>
      </c>
      <c r="BE50" s="40" t="str">
        <f t="shared" ca="1" si="17"/>
        <v/>
      </c>
      <c r="BF50" s="40">
        <f t="shared" ca="1" si="14"/>
        <v>2</v>
      </c>
      <c r="BG50" s="40">
        <f t="shared" ca="1" si="14"/>
        <v>2</v>
      </c>
      <c r="BH50" s="40" t="str">
        <f t="shared" ca="1" si="14"/>
        <v/>
      </c>
      <c r="BI50" s="40" t="str">
        <f t="shared" ca="1" si="14"/>
        <v/>
      </c>
      <c r="BJ50" s="40" t="str">
        <f t="shared" ca="1" si="14"/>
        <v/>
      </c>
      <c r="BK50" s="40" t="str">
        <f t="shared" ca="1" si="14"/>
        <v/>
      </c>
      <c r="BL50" s="40" t="str">
        <f t="shared" ca="1" si="14"/>
        <v/>
      </c>
      <c r="BM50" s="40" t="str">
        <f t="shared" ca="1" si="14"/>
        <v/>
      </c>
      <c r="BN50" s="24"/>
    </row>
    <row r="51" spans="1:66" ht="87" customHeight="1" x14ac:dyDescent="0.25">
      <c r="B51" s="99" t="s">
        <v>18</v>
      </c>
      <c r="C51" s="99"/>
      <c r="D51" s="49"/>
      <c r="E51" s="49"/>
      <c r="F51" s="49"/>
      <c r="G51" s="50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</row>
    <row r="52" spans="1:66" ht="30" customHeight="1" x14ac:dyDescent="0.25">
      <c r="F52" s="4"/>
      <c r="H52" s="11"/>
    </row>
    <row r="53" spans="1:66" ht="30" customHeight="1" x14ac:dyDescent="0.25">
      <c r="F53" s="5"/>
    </row>
  </sheetData>
  <mergeCells count="8">
    <mergeCell ref="Z4:AC4"/>
    <mergeCell ref="AE4:AI4"/>
    <mergeCell ref="B2:I2"/>
    <mergeCell ref="J2:O2"/>
    <mergeCell ref="P2:U2"/>
    <mergeCell ref="J4:M4"/>
    <mergeCell ref="O4:R4"/>
    <mergeCell ref="T4:X4"/>
  </mergeCells>
  <phoneticPr fontId="47" type="noConversion"/>
  <conditionalFormatting sqref="J6:AN6">
    <cfRule type="expression" dxfId="25" priority="5">
      <formula>J$7&lt;=EOMONTH($J$7,0)</formula>
    </cfRule>
  </conditionalFormatting>
  <conditionalFormatting sqref="J6:BM6">
    <cfRule type="expression" dxfId="24" priority="3">
      <formula>AND(J$7&lt;=EOMONTH($J$7,1),J$7&gt;EOMONTH($J$7,0))</formula>
    </cfRule>
  </conditionalFormatting>
  <conditionalFormatting sqref="J11:BM50">
    <cfRule type="expression" dxfId="23" priority="66" stopIfTrue="1">
      <formula>AND($D11="Baixo risco",J$7&gt;=$G11,J$7&lt;=WORKDAY($G11,$H11-1),WEEKDAY(J$7,2)&lt;=5)</formula>
    </cfRule>
    <cfRule type="expression" dxfId="22" priority="67" stopIfTrue="1">
      <formula>AND($D11="Alto risco",J$7&gt;=$G11,J$7&lt;=WORKDAY($G11,$H11-1),WEEKDAY(J$7,2)&lt;=5)</formula>
    </cfRule>
    <cfRule type="expression" dxfId="21" priority="68" stopIfTrue="1">
      <formula>AND($D11="No prazo",J$7&gt;=$G11,J$7&lt;=WORKDAY($G11,$H11-1),WEEKDAY(J$7,2)&lt;=5)</formula>
    </cfRule>
    <cfRule type="expression" dxfId="20" priority="69" stopIfTrue="1">
      <formula>AND($D11="Médio risco",J$7&gt;=$G11,J$7&lt;=WORKDAY($G11,$H11-1),WEEKDAY(J$7,2)&lt;=5)</formula>
    </cfRule>
    <cfRule type="expression" dxfId="19" priority="70" stopIfTrue="1">
      <formula>AND(LEN($D11)=0,J$7&gt;=$G11,J$7&lt;=$G11+$H11-1)</formula>
    </cfRule>
  </conditionalFormatting>
  <conditionalFormatting sqref="K6:BM6">
    <cfRule type="expression" dxfId="18" priority="4">
      <formula>AND(K$7&lt;=EOMONTH($J$7,2),K$7&gt;EOMONTH($J$7,0),K$7&gt;EOMONTH($J$7,1))</formula>
    </cfRule>
  </conditionalFormatting>
  <dataValidations count="12">
    <dataValidation type="list" allowBlank="1" showInputMessage="1" showErrorMessage="1" sqref="B10 D10:E10" xr:uid="{A2F07095-4C5B-4F26-9F4F-F9BCE27C6F57}">
      <formula1>"Objetivo,Marco,No prazo, Baixo risco, Médio risco, Alto risco"</formula1>
    </dataValidation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1" xr:uid="{4DD4ED10-9AD6-4E16-B98D-780C2836D133}"/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EF7E1D0C-1D4A-4ADD-A37B-656B82D2F645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9B040C77-1487-444F-9200-4040ACDB2DA8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5FBD9402-FBCE-4FA4-84F2-4E5944C4C8BC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C655BEFA-A8F0-47C8-9A9F-B298E206B00E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7D70357B-4F59-49F1-A1C4-F11BBDE70AE8}"/>
    <dataValidation allowBlank="1" showInputMessage="1" showErrorMessage="1" prompt="Insira o Nome da Empresa na célula B4._x000a_Umas legendas nas células I4 a AC4. O rótulo Legenda está na célula G4." sqref="A4" xr:uid="{E8FF6BF3-823C-4A98-BBC9-FA2C64DA9486}"/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B30ABCC4-AAAD-48D6-8EEB-7C14721C5981}"/>
    <dataValidation type="whole" operator="greaterThanOrEqual" allowBlank="1" showInputMessage="1" promptTitle="Incremento de Rolagem" prompt="Alterar esse número rola a exibição do Gráfico de Gantt." sqref="D7:E7" xr:uid="{40D643B7-C378-45A2-A932-672EA7F96D14}">
      <formula1>0</formula1>
    </dataValidation>
    <dataValidation type="list" allowBlank="1" showInputMessage="1" sqref="E11:E50" xr:uid="{43F102CA-20A3-4E05-88B4-5ACDB3A3805C}">
      <formula1>"Predecessora,Paralela"</formula1>
    </dataValidation>
    <dataValidation type="list" allowBlank="1" showInputMessage="1" showErrorMessage="1" sqref="D11:D50" xr:uid="{B459E08E-7B98-4459-854A-E307F6F26132}">
      <formula1>"Inicio,Objetivo,Marco,No prazo, Baixo risco, Médio risco, Alto risco,Fim"</formula1>
    </dataValidation>
  </dataValidations>
  <pageMargins left="0.5" right="0.5" top="0.5" bottom="0.5" header="0.3" footer="0.3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arra de Rolagem 1">
              <controlPr defaultSize="0" autoPict="0" altText="Barra de rolagem para percorrer a linha do tempo do projeto Ghantt.">
                <anchor moveWithCells="1">
                  <from>
                    <xdr:col>9</xdr:col>
                    <xdr:colOff>28575</xdr:colOff>
                    <xdr:row>7</xdr:row>
                    <xdr:rowOff>57150</xdr:rowOff>
                  </from>
                  <to>
                    <xdr:col>64</xdr:col>
                    <xdr:colOff>228600</xdr:colOff>
                    <xdr:row>7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5" id="{C84307BC-4E4D-4989-9D21-88D6AEB0AFD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J11:BM50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EAD0-786A-4F3A-BCD3-DA7444CB9941}">
  <dimension ref="A1:BP38"/>
  <sheetViews>
    <sheetView showGridLines="0" showRuler="0" zoomScaleNormal="100" zoomScalePageLayoutView="70" workbookViewId="0">
      <selection activeCell="C4" sqref="C4"/>
    </sheetView>
  </sheetViews>
  <sheetFormatPr defaultColWidth="8.85546875" defaultRowHeight="30" customHeight="1" x14ac:dyDescent="0.25"/>
  <cols>
    <col min="1" max="1" width="4.7109375" style="9" customWidth="1"/>
    <col min="2" max="2" width="30.7109375" customWidth="1"/>
    <col min="3" max="3" width="13.28515625" bestFit="1" customWidth="1"/>
    <col min="4" max="4" width="20.5703125" customWidth="1"/>
    <col min="5" max="5" width="15.7109375" customWidth="1"/>
    <col min="6" max="6" width="10.42578125" style="2" customWidth="1"/>
    <col min="7" max="7" width="10.42578125" customWidth="1"/>
    <col min="8" max="8" width="2.7109375" customWidth="1"/>
    <col min="9" max="64" width="3.5703125" customWidth="1"/>
    <col min="65" max="65" width="2.7109375" customWidth="1"/>
  </cols>
  <sheetData>
    <row r="1" spans="1:68" ht="25.15" customHeight="1" x14ac:dyDescent="0.25"/>
    <row r="2" spans="1:68" ht="49.9" customHeight="1" x14ac:dyDescent="0.25">
      <c r="A2" s="10"/>
      <c r="B2" s="133" t="s">
        <v>3</v>
      </c>
      <c r="C2" s="133"/>
      <c r="D2" s="133"/>
      <c r="E2" s="133"/>
      <c r="F2" s="133"/>
      <c r="G2" s="133"/>
      <c r="H2" s="133"/>
      <c r="I2" s="134"/>
      <c r="J2" s="134"/>
      <c r="K2" s="134"/>
      <c r="L2" s="134"/>
      <c r="M2" s="134"/>
      <c r="N2" s="134"/>
      <c r="O2" s="135"/>
      <c r="P2" s="135"/>
      <c r="Q2" s="135"/>
      <c r="R2" s="135"/>
      <c r="S2" s="135"/>
      <c r="T2" s="135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</row>
    <row r="3" spans="1:68" ht="19.899999999999999" customHeight="1" x14ac:dyDescent="0.25">
      <c r="A3" s="10"/>
      <c r="B3" s="59"/>
      <c r="C3" s="60"/>
      <c r="D3" s="61"/>
      <c r="E3" s="61"/>
      <c r="F3" s="62"/>
      <c r="G3" s="61"/>
      <c r="H3" s="61"/>
      <c r="I3" s="75"/>
      <c r="J3" s="1"/>
      <c r="K3" s="1"/>
      <c r="L3" s="1"/>
    </row>
    <row r="4" spans="1:68" ht="30" customHeight="1" x14ac:dyDescent="0.25">
      <c r="A4" s="10"/>
      <c r="B4" s="63" t="s">
        <v>4</v>
      </c>
      <c r="C4" s="64"/>
      <c r="D4" s="65"/>
      <c r="E4" s="66"/>
      <c r="F4" s="67"/>
      <c r="G4" s="68" t="s">
        <v>30</v>
      </c>
      <c r="H4" s="66"/>
      <c r="I4" s="130" t="s">
        <v>25</v>
      </c>
      <c r="J4" s="130"/>
      <c r="K4" s="130"/>
      <c r="L4" s="130"/>
      <c r="N4" s="131" t="s">
        <v>22</v>
      </c>
      <c r="O4" s="131"/>
      <c r="P4" s="131"/>
      <c r="Q4" s="131"/>
      <c r="S4" s="132" t="s">
        <v>23</v>
      </c>
      <c r="T4" s="132"/>
      <c r="U4" s="132"/>
      <c r="V4" s="132"/>
      <c r="W4" s="132"/>
      <c r="Y4" s="124" t="s">
        <v>24</v>
      </c>
      <c r="Z4" s="124"/>
      <c r="AA4" s="124"/>
      <c r="AB4" s="124"/>
      <c r="AD4" s="125" t="s">
        <v>32</v>
      </c>
      <c r="AE4" s="125"/>
      <c r="AF4" s="125"/>
      <c r="AG4" s="125"/>
      <c r="AH4" s="125"/>
    </row>
    <row r="5" spans="1:68" ht="30" customHeight="1" x14ac:dyDescent="0.25">
      <c r="A5" s="10"/>
      <c r="B5" s="69" t="s">
        <v>5</v>
      </c>
      <c r="C5" s="65"/>
      <c r="D5" s="65"/>
      <c r="E5" s="66"/>
      <c r="F5" s="67"/>
      <c r="G5" s="66"/>
      <c r="H5" s="66"/>
    </row>
    <row r="6" spans="1:68" ht="30" customHeight="1" x14ac:dyDescent="0.35">
      <c r="A6" s="10"/>
      <c r="B6" s="70" t="s">
        <v>6</v>
      </c>
      <c r="C6" s="71" cm="1">
        <f t="array" aca="1" ref="C6" ca="1">IFERROR(IF(MIN(Milestones4352[Início])=0,TODAY(),B11(Milestones4352[Início])),TODAY())</f>
        <v>46176</v>
      </c>
      <c r="D6" s="72"/>
      <c r="E6" s="66"/>
      <c r="F6" s="67"/>
      <c r="G6" s="66"/>
      <c r="H6" s="66"/>
      <c r="I6" s="82" t="str">
        <f ca="1">TEXT(I7,"mmmm")</f>
        <v>junho</v>
      </c>
      <c r="J6" s="82"/>
      <c r="K6" s="82"/>
      <c r="L6" s="82"/>
      <c r="M6" s="82"/>
      <c r="N6" s="82"/>
      <c r="O6" s="82"/>
      <c r="P6" s="82" t="str">
        <f ca="1">IF(TEXT(P7,"mmmm")=I6,"",TEXT(P7,"mmmm"))</f>
        <v/>
      </c>
      <c r="Q6" s="82"/>
      <c r="R6" s="82"/>
      <c r="S6" s="82"/>
      <c r="T6" s="82"/>
      <c r="U6" s="82"/>
      <c r="V6" s="82"/>
      <c r="W6" s="82" t="str">
        <f ca="1">IF(OR(TEXT(W7,"mmmm")=P6,TEXT(W7,"mmmm")=I6),"",TEXT(W7,"mmmm"))</f>
        <v/>
      </c>
      <c r="X6" s="82"/>
      <c r="Y6" s="82"/>
      <c r="Z6" s="82"/>
      <c r="AA6" s="82"/>
      <c r="AB6" s="82"/>
      <c r="AC6" s="82"/>
      <c r="AD6" s="82" t="str">
        <f ca="1">IF(OR(TEXT(AD7,"mmmm")=W6,TEXT(AD7,"mmmm")=P6,TEXT(AD7,"mmmm")=I6),"",TEXT(AD7,"mmmm"))</f>
        <v/>
      </c>
      <c r="AE6" s="82"/>
      <c r="AF6" s="82"/>
      <c r="AG6" s="82"/>
      <c r="AH6" s="82"/>
      <c r="AI6" s="82"/>
      <c r="AJ6" s="82"/>
      <c r="AK6" s="82" t="str">
        <f ca="1">IF(OR(TEXT(AK7,"mmmm")=AD6,TEXT(AK7,"mmmm")=W6,TEXT(AK7,"mmmm")=P6,TEXT(AK7,"mmmm")=I6),"",TEXT(AK7,"mmmm"))</f>
        <v>julho</v>
      </c>
      <c r="AL6" s="82"/>
      <c r="AM6" s="82"/>
      <c r="AN6" s="82"/>
      <c r="AO6" s="82"/>
      <c r="AP6" s="82"/>
      <c r="AQ6" s="82"/>
      <c r="AR6" s="82" t="str">
        <f ca="1">IF(OR(TEXT(AR7,"mmmm")=AK6,TEXT(AR7,"mmmm")=AD6,TEXT(AR7,"mmmm")=W6,TEXT(AR7,"mmmm")=P6),"",TEXT(AR7,"mmmm"))</f>
        <v/>
      </c>
      <c r="AS6" s="82"/>
      <c r="AT6" s="82"/>
      <c r="AU6" s="82"/>
      <c r="AV6" s="82"/>
      <c r="AW6" s="82"/>
      <c r="AX6" s="83"/>
      <c r="AY6" s="83" t="str">
        <f ca="1">IF(OR(TEXT(AY7,"mmmm")=AR6,TEXT(AY7,"mmmm")=AK6,TEXT(AY7,"mmmm")=AD6,TEXT(AY7,"mmmm")=W6),"",TEXT(AY7,"mmmm"))</f>
        <v/>
      </c>
      <c r="AZ6" s="83"/>
      <c r="BA6" s="83"/>
      <c r="BB6" s="84"/>
      <c r="BC6" s="81"/>
      <c r="BD6" s="81"/>
      <c r="BE6" s="81"/>
      <c r="BF6" s="81" t="str">
        <f ca="1">IF(OR(TEXT(BF7,"mmmm")=AY6,TEXT(BF7,"mmmm")=AR6,TEXT(BF7,"mmmm")=AK6,TEXT(BF7,"mmmm")=AD6),"",TEXT(BF7,"mmmm"))</f>
        <v/>
      </c>
      <c r="BG6" s="81"/>
      <c r="BH6" s="81"/>
      <c r="BI6" s="81"/>
      <c r="BJ6" s="81"/>
      <c r="BK6" s="81"/>
      <c r="BL6" s="81"/>
    </row>
    <row r="7" spans="1:68" ht="30" customHeight="1" x14ac:dyDescent="0.25">
      <c r="A7" s="10"/>
      <c r="B7" s="70" t="s">
        <v>7</v>
      </c>
      <c r="C7" s="73">
        <v>1</v>
      </c>
      <c r="D7" s="65"/>
      <c r="E7" s="66"/>
      <c r="F7" s="66"/>
      <c r="G7" s="66"/>
      <c r="H7" s="74"/>
      <c r="I7" s="106">
        <f ca="1">IFERROR(Início_do_projeto+Incremento_de_Rolagem,TODAY())</f>
        <v>46177</v>
      </c>
      <c r="J7" s="107">
        <f ca="1">I7+1</f>
        <v>46178</v>
      </c>
      <c r="K7" s="107">
        <f t="shared" ref="K7:AX7" ca="1" si="0">J7+1</f>
        <v>46179</v>
      </c>
      <c r="L7" s="107">
        <f t="shared" ca="1" si="0"/>
        <v>46180</v>
      </c>
      <c r="M7" s="107">
        <f t="shared" ca="1" si="0"/>
        <v>46181</v>
      </c>
      <c r="N7" s="107">
        <f t="shared" ca="1" si="0"/>
        <v>46182</v>
      </c>
      <c r="O7" s="108">
        <f t="shared" ca="1" si="0"/>
        <v>46183</v>
      </c>
      <c r="P7" s="107">
        <f ca="1">O7+1</f>
        <v>46184</v>
      </c>
      <c r="Q7" s="107">
        <f ca="1">P7+1</f>
        <v>46185</v>
      </c>
      <c r="R7" s="107">
        <f t="shared" ca="1" si="0"/>
        <v>46186</v>
      </c>
      <c r="S7" s="107">
        <f t="shared" ca="1" si="0"/>
        <v>46187</v>
      </c>
      <c r="T7" s="107">
        <f t="shared" ca="1" si="0"/>
        <v>46188</v>
      </c>
      <c r="U7" s="107">
        <f t="shared" ca="1" si="0"/>
        <v>46189</v>
      </c>
      <c r="V7" s="108">
        <f t="shared" ca="1" si="0"/>
        <v>46190</v>
      </c>
      <c r="W7" s="107">
        <f ca="1">V7+1</f>
        <v>46191</v>
      </c>
      <c r="X7" s="107">
        <f ca="1">W7+1</f>
        <v>46192</v>
      </c>
      <c r="Y7" s="107">
        <f t="shared" ca="1" si="0"/>
        <v>46193</v>
      </c>
      <c r="Z7" s="107">
        <f t="shared" ca="1" si="0"/>
        <v>46194</v>
      </c>
      <c r="AA7" s="107">
        <f t="shared" ca="1" si="0"/>
        <v>46195</v>
      </c>
      <c r="AB7" s="107">
        <f t="shared" ca="1" si="0"/>
        <v>46196</v>
      </c>
      <c r="AC7" s="108">
        <f t="shared" ca="1" si="0"/>
        <v>46197</v>
      </c>
      <c r="AD7" s="107">
        <f ca="1">AC7+1</f>
        <v>46198</v>
      </c>
      <c r="AE7" s="107">
        <f ca="1">AD7+1</f>
        <v>46199</v>
      </c>
      <c r="AF7" s="107">
        <f t="shared" ca="1" si="0"/>
        <v>46200</v>
      </c>
      <c r="AG7" s="107">
        <f t="shared" ca="1" si="0"/>
        <v>46201</v>
      </c>
      <c r="AH7" s="107">
        <f t="shared" ca="1" si="0"/>
        <v>46202</v>
      </c>
      <c r="AI7" s="107">
        <f t="shared" ca="1" si="0"/>
        <v>46203</v>
      </c>
      <c r="AJ7" s="108">
        <f t="shared" ca="1" si="0"/>
        <v>46204</v>
      </c>
      <c r="AK7" s="107">
        <f ca="1">AJ7+1</f>
        <v>46205</v>
      </c>
      <c r="AL7" s="107">
        <f ca="1">AK7+1</f>
        <v>46206</v>
      </c>
      <c r="AM7" s="107">
        <f t="shared" ca="1" si="0"/>
        <v>46207</v>
      </c>
      <c r="AN7" s="107">
        <f t="shared" ca="1" si="0"/>
        <v>46208</v>
      </c>
      <c r="AO7" s="107">
        <f t="shared" ca="1" si="0"/>
        <v>46209</v>
      </c>
      <c r="AP7" s="107">
        <f t="shared" ca="1" si="0"/>
        <v>46210</v>
      </c>
      <c r="AQ7" s="108">
        <f t="shared" ca="1" si="0"/>
        <v>46211</v>
      </c>
      <c r="AR7" s="107">
        <f ca="1">AQ7+1</f>
        <v>46212</v>
      </c>
      <c r="AS7" s="107">
        <f ca="1">AR7+1</f>
        <v>46213</v>
      </c>
      <c r="AT7" s="107">
        <f t="shared" ca="1" si="0"/>
        <v>46214</v>
      </c>
      <c r="AU7" s="107">
        <f t="shared" ca="1" si="0"/>
        <v>46215</v>
      </c>
      <c r="AV7" s="107">
        <f t="shared" ca="1" si="0"/>
        <v>46216</v>
      </c>
      <c r="AW7" s="107">
        <f t="shared" ca="1" si="0"/>
        <v>46217</v>
      </c>
      <c r="AX7" s="108">
        <f t="shared" ca="1" si="0"/>
        <v>46218</v>
      </c>
      <c r="AY7" s="107">
        <f ca="1">AX7+1</f>
        <v>46219</v>
      </c>
      <c r="AZ7" s="107">
        <f ca="1">AY7+1</f>
        <v>46220</v>
      </c>
      <c r="BA7" s="107">
        <f t="shared" ref="BA7:BE7" ca="1" si="1">AZ7+1</f>
        <v>46221</v>
      </c>
      <c r="BB7" s="107">
        <f t="shared" ca="1" si="1"/>
        <v>46222</v>
      </c>
      <c r="BC7" s="107">
        <f t="shared" ca="1" si="1"/>
        <v>46223</v>
      </c>
      <c r="BD7" s="107">
        <f t="shared" ca="1" si="1"/>
        <v>46224</v>
      </c>
      <c r="BE7" s="108">
        <f t="shared" ca="1" si="1"/>
        <v>46225</v>
      </c>
      <c r="BF7" s="107">
        <f ca="1">BE7+1</f>
        <v>46226</v>
      </c>
      <c r="BG7" s="107">
        <f ca="1">BF7+1</f>
        <v>46227</v>
      </c>
      <c r="BH7" s="107">
        <f t="shared" ref="BH7:BL7" ca="1" si="2">BG7+1</f>
        <v>46228</v>
      </c>
      <c r="BI7" s="107">
        <f t="shared" ca="1" si="2"/>
        <v>46229</v>
      </c>
      <c r="BJ7" s="107">
        <f t="shared" ca="1" si="2"/>
        <v>46230</v>
      </c>
      <c r="BK7" s="107">
        <f t="shared" ca="1" si="2"/>
        <v>46231</v>
      </c>
      <c r="BL7" s="108">
        <f t="shared" ca="1" si="2"/>
        <v>46232</v>
      </c>
    </row>
    <row r="8" spans="1:68" ht="19.899999999999999" customHeight="1" x14ac:dyDescent="0.25">
      <c r="A8" s="10"/>
      <c r="B8" s="65"/>
      <c r="C8" s="65"/>
      <c r="D8" s="65"/>
      <c r="E8" s="66"/>
      <c r="F8" s="66"/>
      <c r="G8" s="66"/>
      <c r="H8" s="74"/>
      <c r="I8" s="109"/>
      <c r="J8" s="110"/>
      <c r="K8" s="110"/>
      <c r="L8" s="110"/>
      <c r="M8" s="110"/>
      <c r="N8" s="110"/>
      <c r="O8" s="110"/>
      <c r="P8" s="111"/>
      <c r="Q8" s="110"/>
      <c r="R8" s="110"/>
      <c r="S8" s="110"/>
      <c r="T8" s="110"/>
      <c r="U8" s="110"/>
      <c r="V8" s="112"/>
      <c r="W8" s="110"/>
      <c r="X8" s="110"/>
      <c r="Y8" s="110"/>
      <c r="Z8" s="110"/>
      <c r="AA8" s="110"/>
      <c r="AB8" s="110"/>
      <c r="AC8" s="112"/>
      <c r="AD8" s="110"/>
      <c r="AE8" s="110"/>
      <c r="AF8" s="110"/>
      <c r="AG8" s="110"/>
      <c r="AH8" s="110"/>
      <c r="AI8" s="110"/>
      <c r="AJ8" s="112"/>
      <c r="AK8" s="110"/>
      <c r="AL8" s="110"/>
      <c r="AM8" s="110"/>
      <c r="AN8" s="110"/>
      <c r="AO8" s="110"/>
      <c r="AP8" s="110"/>
      <c r="AQ8" s="112"/>
      <c r="AR8" s="110"/>
      <c r="AS8" s="110"/>
      <c r="AT8" s="110"/>
      <c r="AU8" s="110"/>
      <c r="AV8" s="110"/>
      <c r="AW8" s="110"/>
      <c r="AX8" s="112"/>
      <c r="AY8" s="110"/>
      <c r="AZ8" s="110"/>
      <c r="BA8" s="110"/>
      <c r="BB8" s="110"/>
      <c r="BC8" s="110"/>
      <c r="BD8" s="110"/>
      <c r="BE8" s="112"/>
      <c r="BF8" s="110"/>
      <c r="BG8" s="110"/>
      <c r="BH8" s="110"/>
      <c r="BI8" s="110"/>
      <c r="BJ8" s="110"/>
      <c r="BK8" s="110"/>
      <c r="BL8" s="113"/>
    </row>
    <row r="9" spans="1:68" ht="40.15" customHeight="1" x14ac:dyDescent="0.25">
      <c r="A9" s="10"/>
      <c r="B9" s="96" t="s">
        <v>8</v>
      </c>
      <c r="C9" s="97" t="s">
        <v>19</v>
      </c>
      <c r="D9" s="97" t="s">
        <v>26</v>
      </c>
      <c r="E9" s="97" t="s">
        <v>28</v>
      </c>
      <c r="F9" s="97" t="s">
        <v>29</v>
      </c>
      <c r="G9" s="97" t="s">
        <v>31</v>
      </c>
      <c r="H9" s="79"/>
      <c r="I9" s="88" t="str">
        <f t="shared" ref="I9:BL9" ca="1" si="3">LEFT(TEXT(I7,"ddd"),1)</f>
        <v>q</v>
      </c>
      <c r="J9" s="88" t="str">
        <f t="shared" ca="1" si="3"/>
        <v>s</v>
      </c>
      <c r="K9" s="88" t="str">
        <f t="shared" ca="1" si="3"/>
        <v>s</v>
      </c>
      <c r="L9" s="88" t="str">
        <f t="shared" ca="1" si="3"/>
        <v>d</v>
      </c>
      <c r="M9" s="88" t="str">
        <f t="shared" ca="1" si="3"/>
        <v>s</v>
      </c>
      <c r="N9" s="88" t="str">
        <f t="shared" ca="1" si="3"/>
        <v>t</v>
      </c>
      <c r="O9" s="88" t="str">
        <f t="shared" ca="1" si="3"/>
        <v>q</v>
      </c>
      <c r="P9" s="88" t="str">
        <f t="shared" ca="1" si="3"/>
        <v>q</v>
      </c>
      <c r="Q9" s="88" t="str">
        <f t="shared" ca="1" si="3"/>
        <v>s</v>
      </c>
      <c r="R9" s="88" t="str">
        <f t="shared" ca="1" si="3"/>
        <v>s</v>
      </c>
      <c r="S9" s="88" t="str">
        <f t="shared" ca="1" si="3"/>
        <v>d</v>
      </c>
      <c r="T9" s="88" t="str">
        <f t="shared" ca="1" si="3"/>
        <v>s</v>
      </c>
      <c r="U9" s="88" t="str">
        <f t="shared" ca="1" si="3"/>
        <v>t</v>
      </c>
      <c r="V9" s="88" t="str">
        <f t="shared" ca="1" si="3"/>
        <v>q</v>
      </c>
      <c r="W9" s="88" t="str">
        <f t="shared" ca="1" si="3"/>
        <v>q</v>
      </c>
      <c r="X9" s="88" t="str">
        <f t="shared" ca="1" si="3"/>
        <v>s</v>
      </c>
      <c r="Y9" s="88" t="str">
        <f t="shared" ca="1" si="3"/>
        <v>s</v>
      </c>
      <c r="Z9" s="88" t="str">
        <f t="shared" ca="1" si="3"/>
        <v>d</v>
      </c>
      <c r="AA9" s="88" t="str">
        <f t="shared" ca="1" si="3"/>
        <v>s</v>
      </c>
      <c r="AB9" s="88" t="str">
        <f t="shared" ca="1" si="3"/>
        <v>t</v>
      </c>
      <c r="AC9" s="88" t="str">
        <f t="shared" ca="1" si="3"/>
        <v>q</v>
      </c>
      <c r="AD9" s="88" t="str">
        <f t="shared" ca="1" si="3"/>
        <v>q</v>
      </c>
      <c r="AE9" s="88" t="str">
        <f t="shared" ca="1" si="3"/>
        <v>s</v>
      </c>
      <c r="AF9" s="88" t="str">
        <f t="shared" ca="1" si="3"/>
        <v>s</v>
      </c>
      <c r="AG9" s="88" t="str">
        <f t="shared" ca="1" si="3"/>
        <v>d</v>
      </c>
      <c r="AH9" s="88" t="str">
        <f t="shared" ca="1" si="3"/>
        <v>s</v>
      </c>
      <c r="AI9" s="88" t="str">
        <f t="shared" ca="1" si="3"/>
        <v>t</v>
      </c>
      <c r="AJ9" s="88" t="str">
        <f t="shared" ca="1" si="3"/>
        <v>q</v>
      </c>
      <c r="AK9" s="88" t="str">
        <f t="shared" ca="1" si="3"/>
        <v>q</v>
      </c>
      <c r="AL9" s="88" t="str">
        <f t="shared" ca="1" si="3"/>
        <v>s</v>
      </c>
      <c r="AM9" s="88" t="str">
        <f t="shared" ca="1" si="3"/>
        <v>s</v>
      </c>
      <c r="AN9" s="88" t="str">
        <f t="shared" ca="1" si="3"/>
        <v>d</v>
      </c>
      <c r="AO9" s="88" t="str">
        <f t="shared" ca="1" si="3"/>
        <v>s</v>
      </c>
      <c r="AP9" s="88" t="str">
        <f t="shared" ca="1" si="3"/>
        <v>t</v>
      </c>
      <c r="AQ9" s="88" t="str">
        <f t="shared" ca="1" si="3"/>
        <v>q</v>
      </c>
      <c r="AR9" s="88" t="str">
        <f t="shared" ca="1" si="3"/>
        <v>q</v>
      </c>
      <c r="AS9" s="88" t="str">
        <f t="shared" ca="1" si="3"/>
        <v>s</v>
      </c>
      <c r="AT9" s="88" t="str">
        <f t="shared" ca="1" si="3"/>
        <v>s</v>
      </c>
      <c r="AU9" s="88" t="str">
        <f t="shared" ca="1" si="3"/>
        <v>d</v>
      </c>
      <c r="AV9" s="88" t="str">
        <f t="shared" ca="1" si="3"/>
        <v>s</v>
      </c>
      <c r="AW9" s="88" t="str">
        <f t="shared" ca="1" si="3"/>
        <v>t</v>
      </c>
      <c r="AX9" s="88" t="str">
        <f t="shared" ca="1" si="3"/>
        <v>q</v>
      </c>
      <c r="AY9" s="88" t="str">
        <f t="shared" ca="1" si="3"/>
        <v>q</v>
      </c>
      <c r="AZ9" s="88" t="str">
        <f t="shared" ca="1" si="3"/>
        <v>s</v>
      </c>
      <c r="BA9" s="88" t="str">
        <f t="shared" ca="1" si="3"/>
        <v>s</v>
      </c>
      <c r="BB9" s="88" t="str">
        <f t="shared" ca="1" si="3"/>
        <v>d</v>
      </c>
      <c r="BC9" s="88" t="str">
        <f t="shared" ca="1" si="3"/>
        <v>s</v>
      </c>
      <c r="BD9" s="88" t="str">
        <f t="shared" ca="1" si="3"/>
        <v>t</v>
      </c>
      <c r="BE9" s="88" t="str">
        <f t="shared" ca="1" si="3"/>
        <v>q</v>
      </c>
      <c r="BF9" s="88" t="str">
        <f t="shared" ca="1" si="3"/>
        <v>q</v>
      </c>
      <c r="BG9" s="88" t="str">
        <f t="shared" ca="1" si="3"/>
        <v>s</v>
      </c>
      <c r="BH9" s="88" t="str">
        <f t="shared" ca="1" si="3"/>
        <v>s</v>
      </c>
      <c r="BI9" s="88" t="str">
        <f t="shared" ca="1" si="3"/>
        <v>d</v>
      </c>
      <c r="BJ9" s="88" t="str">
        <f t="shared" ca="1" si="3"/>
        <v>s</v>
      </c>
      <c r="BK9" s="88" t="str">
        <f t="shared" ca="1" si="3"/>
        <v>t</v>
      </c>
      <c r="BL9" s="88" t="str">
        <f t="shared" ca="1" si="3"/>
        <v>q</v>
      </c>
    </row>
    <row r="10" spans="1:68" ht="30" hidden="1" customHeight="1" x14ac:dyDescent="0.25">
      <c r="B10" s="16"/>
      <c r="C10" s="13"/>
      <c r="D10" s="12"/>
      <c r="E10" s="13"/>
      <c r="F10" s="14"/>
      <c r="G10" s="15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</row>
    <row r="11" spans="1:68" s="1" customFormat="1" ht="40.15" customHeight="1" x14ac:dyDescent="0.25">
      <c r="A11" s="10"/>
      <c r="B11" s="98" t="s">
        <v>9</v>
      </c>
      <c r="C11" s="52"/>
      <c r="D11" s="52"/>
      <c r="E11" s="53"/>
      <c r="F11" s="54"/>
      <c r="G11" s="55"/>
      <c r="H11" s="52"/>
      <c r="I11" s="23" t="str">
        <f t="shared" ref="I11:X14" ca="1" si="4">IF(AND($C11="Objetivo",I$7&gt;=$F11,I$7&lt;=$F11+$G11-1),2,IF(AND($C11="Marco",I$7&gt;=$F11,I$7&lt;=$F11+$G11-1),1,""))</f>
        <v/>
      </c>
      <c r="J11" s="23" t="str">
        <f t="shared" ca="1" si="4"/>
        <v/>
      </c>
      <c r="K11" s="23" t="str">
        <f t="shared" ca="1" si="4"/>
        <v/>
      </c>
      <c r="L11" s="23" t="str">
        <f t="shared" ca="1" si="4"/>
        <v/>
      </c>
      <c r="M11" s="23" t="str">
        <f t="shared" ca="1" si="4"/>
        <v/>
      </c>
      <c r="N11" s="23" t="str">
        <f t="shared" ca="1" si="4"/>
        <v/>
      </c>
      <c r="O11" s="23" t="str">
        <f t="shared" ca="1" si="4"/>
        <v/>
      </c>
      <c r="P11" s="23" t="str">
        <f t="shared" ca="1" si="4"/>
        <v/>
      </c>
      <c r="Q11" s="23" t="str">
        <f t="shared" ca="1" si="4"/>
        <v/>
      </c>
      <c r="R11" s="23" t="str">
        <f t="shared" ca="1" si="4"/>
        <v/>
      </c>
      <c r="S11" s="23" t="str">
        <f t="shared" ca="1" si="4"/>
        <v/>
      </c>
      <c r="T11" s="23" t="str">
        <f t="shared" ca="1" si="4"/>
        <v/>
      </c>
      <c r="U11" s="23" t="str">
        <f t="shared" ca="1" si="4"/>
        <v/>
      </c>
      <c r="V11" s="23" t="str">
        <f t="shared" ca="1" si="4"/>
        <v/>
      </c>
      <c r="W11" s="23" t="str">
        <f t="shared" ca="1" si="4"/>
        <v/>
      </c>
      <c r="X11" s="23" t="str">
        <f t="shared" ca="1" si="4"/>
        <v/>
      </c>
      <c r="Y11" s="23" t="str">
        <f t="shared" ref="Y11:AN14" ca="1" si="5">IF(AND($C11="Objetivo",Y$7&gt;=$F11,Y$7&lt;=$F11+$G11-1),2,IF(AND($C11="Marco",Y$7&gt;=$F11,Y$7&lt;=$F11+$G11-1),1,""))</f>
        <v/>
      </c>
      <c r="Z11" s="23" t="str">
        <f t="shared" ca="1" si="5"/>
        <v/>
      </c>
      <c r="AA11" s="23" t="str">
        <f t="shared" ca="1" si="5"/>
        <v/>
      </c>
      <c r="AB11" s="23" t="str">
        <f t="shared" ca="1" si="5"/>
        <v/>
      </c>
      <c r="AC11" s="23" t="str">
        <f t="shared" ca="1" si="5"/>
        <v/>
      </c>
      <c r="AD11" s="23" t="str">
        <f t="shared" ca="1" si="5"/>
        <v/>
      </c>
      <c r="AE11" s="23" t="str">
        <f t="shared" ca="1" si="5"/>
        <v/>
      </c>
      <c r="AF11" s="23" t="str">
        <f t="shared" ca="1" si="5"/>
        <v/>
      </c>
      <c r="AG11" s="23" t="str">
        <f t="shared" ca="1" si="5"/>
        <v/>
      </c>
      <c r="AH11" s="23" t="str">
        <f t="shared" ca="1" si="5"/>
        <v/>
      </c>
      <c r="AI11" s="23" t="str">
        <f t="shared" ca="1" si="5"/>
        <v/>
      </c>
      <c r="AJ11" s="23" t="str">
        <f t="shared" ca="1" si="5"/>
        <v/>
      </c>
      <c r="AK11" s="23" t="str">
        <f t="shared" ca="1" si="5"/>
        <v/>
      </c>
      <c r="AL11" s="23" t="str">
        <f t="shared" ca="1" si="5"/>
        <v/>
      </c>
      <c r="AM11" s="23" t="str">
        <f t="shared" ca="1" si="5"/>
        <v/>
      </c>
      <c r="AN11" s="23" t="str">
        <f t="shared" ca="1" si="5"/>
        <v/>
      </c>
      <c r="AO11" s="23" t="str">
        <f t="shared" ref="AO11:BD14" ca="1" si="6">IF(AND($C11="Objetivo",AO$7&gt;=$F11,AO$7&lt;=$F11+$G11-1),2,IF(AND($C11="Marco",AO$7&gt;=$F11,AO$7&lt;=$F11+$G11-1),1,""))</f>
        <v/>
      </c>
      <c r="AP11" s="23" t="str">
        <f t="shared" ca="1" si="6"/>
        <v/>
      </c>
      <c r="AQ11" s="23" t="str">
        <f t="shared" ca="1" si="6"/>
        <v/>
      </c>
      <c r="AR11" s="23" t="str">
        <f t="shared" ca="1" si="6"/>
        <v/>
      </c>
      <c r="AS11" s="23" t="str">
        <f t="shared" ca="1" si="6"/>
        <v/>
      </c>
      <c r="AT11" s="23" t="str">
        <f t="shared" ca="1" si="6"/>
        <v/>
      </c>
      <c r="AU11" s="23" t="str">
        <f t="shared" ca="1" si="6"/>
        <v/>
      </c>
      <c r="AV11" s="23" t="str">
        <f t="shared" ca="1" si="6"/>
        <v/>
      </c>
      <c r="AW11" s="23" t="str">
        <f t="shared" ca="1" si="6"/>
        <v/>
      </c>
      <c r="AX11" s="23" t="str">
        <f t="shared" ca="1" si="6"/>
        <v/>
      </c>
      <c r="AY11" s="23" t="str">
        <f t="shared" ca="1" si="6"/>
        <v/>
      </c>
      <c r="AZ11" s="23" t="str">
        <f t="shared" ca="1" si="6"/>
        <v/>
      </c>
      <c r="BA11" s="23" t="str">
        <f t="shared" ca="1" si="6"/>
        <v/>
      </c>
      <c r="BB11" s="23" t="str">
        <f t="shared" ca="1" si="6"/>
        <v/>
      </c>
      <c r="BC11" s="23" t="str">
        <f t="shared" ca="1" si="6"/>
        <v/>
      </c>
      <c r="BD11" s="23" t="str">
        <f t="shared" ca="1" si="6"/>
        <v/>
      </c>
      <c r="BE11" s="23" t="str">
        <f t="shared" ref="BE11:BL14" ca="1" si="7">IF(AND($C11="Objetivo",BE$7&gt;=$F11,BE$7&lt;=$F11+$G11-1),2,IF(AND($C11="Marco",BE$7&gt;=$F11,BE$7&lt;=$F11+$G11-1),1,""))</f>
        <v/>
      </c>
      <c r="BF11" s="23" t="str">
        <f t="shared" ca="1" si="7"/>
        <v/>
      </c>
      <c r="BG11" s="23" t="str">
        <f t="shared" ca="1" si="7"/>
        <v/>
      </c>
      <c r="BH11" s="23" t="str">
        <f t="shared" ca="1" si="7"/>
        <v/>
      </c>
      <c r="BI11" s="23" t="str">
        <f t="shared" ca="1" si="7"/>
        <v/>
      </c>
      <c r="BJ11" s="23" t="str">
        <f t="shared" ca="1" si="7"/>
        <v/>
      </c>
      <c r="BK11" s="23" t="str">
        <f t="shared" ca="1" si="7"/>
        <v/>
      </c>
      <c r="BL11" s="23" t="str">
        <f t="shared" ca="1" si="7"/>
        <v/>
      </c>
      <c r="BP11" s="34"/>
    </row>
    <row r="12" spans="1:68" s="1" customFormat="1" ht="40.15" customHeight="1" x14ac:dyDescent="0.25">
      <c r="A12" s="10"/>
      <c r="B12" s="56" t="s">
        <v>10</v>
      </c>
      <c r="C12" s="52" t="s">
        <v>20</v>
      </c>
      <c r="D12" s="52" t="s">
        <v>27</v>
      </c>
      <c r="E12" s="53">
        <v>0.25</v>
      </c>
      <c r="F12" s="54">
        <f ca="1">TODAY()</f>
        <v>46176</v>
      </c>
      <c r="G12" s="55">
        <v>3</v>
      </c>
      <c r="H12" s="52"/>
      <c r="I12" s="23">
        <f ca="1">IF(AND($C12="Objetivo",I$7&gt;=$F12,I$7&lt;=$F12+$G12-1),2,IF(AND($C12="Marco",I$7&gt;=$F12,I$7&lt;=$F12+$G12-1),1,""))</f>
        <v>2</v>
      </c>
      <c r="J12" s="23">
        <f t="shared" ca="1" si="4"/>
        <v>2</v>
      </c>
      <c r="K12" s="23" t="str">
        <f t="shared" ca="1" si="4"/>
        <v/>
      </c>
      <c r="L12" s="23" t="str">
        <f t="shared" ca="1" si="4"/>
        <v/>
      </c>
      <c r="M12" s="23" t="str">
        <f t="shared" ca="1" si="4"/>
        <v/>
      </c>
      <c r="N12" s="23" t="str">
        <f t="shared" ca="1" si="4"/>
        <v/>
      </c>
      <c r="O12" s="23" t="str">
        <f t="shared" ca="1" si="4"/>
        <v/>
      </c>
      <c r="P12" s="23" t="str">
        <f t="shared" ca="1" si="4"/>
        <v/>
      </c>
      <c r="Q12" s="23" t="str">
        <f t="shared" ca="1" si="4"/>
        <v/>
      </c>
      <c r="R12" s="23" t="str">
        <f t="shared" ca="1" si="4"/>
        <v/>
      </c>
      <c r="S12" s="23" t="str">
        <f t="shared" ca="1" si="4"/>
        <v/>
      </c>
      <c r="T12" s="23" t="str">
        <f t="shared" ca="1" si="4"/>
        <v/>
      </c>
      <c r="U12" s="23" t="str">
        <f t="shared" ca="1" si="4"/>
        <v/>
      </c>
      <c r="V12" s="23" t="str">
        <f t="shared" ca="1" si="4"/>
        <v/>
      </c>
      <c r="W12" s="23" t="str">
        <f t="shared" ca="1" si="4"/>
        <v/>
      </c>
      <c r="X12" s="23" t="str">
        <f t="shared" ca="1" si="4"/>
        <v/>
      </c>
      <c r="Y12" s="23" t="str">
        <f t="shared" ca="1" si="5"/>
        <v/>
      </c>
      <c r="Z12" s="23" t="str">
        <f t="shared" ca="1" si="5"/>
        <v/>
      </c>
      <c r="AA12" s="23" t="str">
        <f t="shared" ca="1" si="5"/>
        <v/>
      </c>
      <c r="AB12" s="23" t="str">
        <f t="shared" ca="1" si="5"/>
        <v/>
      </c>
      <c r="AC12" s="23" t="str">
        <f t="shared" ca="1" si="5"/>
        <v/>
      </c>
      <c r="AD12" s="23" t="str">
        <f t="shared" ca="1" si="5"/>
        <v/>
      </c>
      <c r="AE12" s="23" t="str">
        <f t="shared" ca="1" si="5"/>
        <v/>
      </c>
      <c r="AF12" s="23" t="str">
        <f t="shared" ca="1" si="5"/>
        <v/>
      </c>
      <c r="AG12" s="23" t="str">
        <f t="shared" ca="1" si="5"/>
        <v/>
      </c>
      <c r="AH12" s="23" t="str">
        <f t="shared" ca="1" si="5"/>
        <v/>
      </c>
      <c r="AI12" s="23" t="str">
        <f t="shared" ca="1" si="5"/>
        <v/>
      </c>
      <c r="AJ12" s="23" t="str">
        <f t="shared" ca="1" si="5"/>
        <v/>
      </c>
      <c r="AK12" s="23" t="str">
        <f t="shared" ca="1" si="5"/>
        <v/>
      </c>
      <c r="AL12" s="23" t="str">
        <f t="shared" ca="1" si="5"/>
        <v/>
      </c>
      <c r="AM12" s="23" t="str">
        <f t="shared" ca="1" si="5"/>
        <v/>
      </c>
      <c r="AN12" s="23" t="str">
        <f t="shared" ca="1" si="5"/>
        <v/>
      </c>
      <c r="AO12" s="23" t="str">
        <f t="shared" ca="1" si="6"/>
        <v/>
      </c>
      <c r="AP12" s="23" t="str">
        <f t="shared" ca="1" si="6"/>
        <v/>
      </c>
      <c r="AQ12" s="23" t="str">
        <f t="shared" ca="1" si="6"/>
        <v/>
      </c>
      <c r="AR12" s="23" t="str">
        <f t="shared" ca="1" si="6"/>
        <v/>
      </c>
      <c r="AS12" s="23" t="str">
        <f t="shared" ca="1" si="6"/>
        <v/>
      </c>
      <c r="AT12" s="23" t="str">
        <f t="shared" ca="1" si="6"/>
        <v/>
      </c>
      <c r="AU12" s="23" t="str">
        <f t="shared" ca="1" si="6"/>
        <v/>
      </c>
      <c r="AV12" s="23" t="str">
        <f t="shared" ca="1" si="6"/>
        <v/>
      </c>
      <c r="AW12" s="23" t="str">
        <f t="shared" ca="1" si="6"/>
        <v/>
      </c>
      <c r="AX12" s="23" t="str">
        <f t="shared" ca="1" si="6"/>
        <v/>
      </c>
      <c r="AY12" s="23" t="str">
        <f t="shared" ca="1" si="6"/>
        <v/>
      </c>
      <c r="AZ12" s="23" t="str">
        <f t="shared" ca="1" si="6"/>
        <v/>
      </c>
      <c r="BA12" s="23" t="str">
        <f t="shared" ca="1" si="6"/>
        <v/>
      </c>
      <c r="BB12" s="23" t="str">
        <f t="shared" ca="1" si="6"/>
        <v/>
      </c>
      <c r="BC12" s="23" t="str">
        <f t="shared" ca="1" si="6"/>
        <v/>
      </c>
      <c r="BD12" s="23" t="str">
        <f t="shared" ca="1" si="6"/>
        <v/>
      </c>
      <c r="BE12" s="23" t="str">
        <f t="shared" ca="1" si="7"/>
        <v/>
      </c>
      <c r="BF12" s="23" t="str">
        <f t="shared" ca="1" si="7"/>
        <v/>
      </c>
      <c r="BG12" s="23" t="str">
        <f t="shared" ca="1" si="7"/>
        <v/>
      </c>
      <c r="BH12" s="23" t="str">
        <f t="shared" ca="1" si="7"/>
        <v/>
      </c>
      <c r="BI12" s="23" t="str">
        <f t="shared" ca="1" si="7"/>
        <v/>
      </c>
      <c r="BJ12" s="23" t="str">
        <f t="shared" ca="1" si="7"/>
        <v/>
      </c>
      <c r="BK12" s="23" t="str">
        <f t="shared" ca="1" si="7"/>
        <v/>
      </c>
      <c r="BL12" s="23" t="str">
        <f t="shared" ca="1" si="7"/>
        <v/>
      </c>
    </row>
    <row r="13" spans="1:68" s="1" customFormat="1" ht="40.15" customHeight="1" x14ac:dyDescent="0.25">
      <c r="A13" s="10"/>
      <c r="B13" s="56" t="s">
        <v>11</v>
      </c>
      <c r="C13" s="52" t="s">
        <v>21</v>
      </c>
      <c r="D13" s="52"/>
      <c r="E13" s="53"/>
      <c r="F13" s="54">
        <f ca="1">TODAY()+5</f>
        <v>46181</v>
      </c>
      <c r="G13" s="55">
        <v>1</v>
      </c>
      <c r="H13" s="52"/>
      <c r="I13" s="23" t="str">
        <f t="shared" ref="I13:I14" ca="1" si="8">IF(AND($C13="Objetivo",I$7&gt;=$F13,I$7&lt;=$F13+$G13-1),2,IF(AND($C13="Marco",I$7&gt;=$F13,I$7&lt;=$F13+$G13-1),1,""))</f>
        <v/>
      </c>
      <c r="J13" s="23" t="str">
        <f t="shared" ca="1" si="4"/>
        <v/>
      </c>
      <c r="K13" s="23" t="str">
        <f t="shared" ca="1" si="4"/>
        <v/>
      </c>
      <c r="L13" s="23" t="str">
        <f t="shared" ca="1" si="4"/>
        <v/>
      </c>
      <c r="M13" s="23">
        <f t="shared" ca="1" si="4"/>
        <v>1</v>
      </c>
      <c r="N13" s="23" t="str">
        <f t="shared" ca="1" si="4"/>
        <v/>
      </c>
      <c r="O13" s="23" t="str">
        <f t="shared" ca="1" si="4"/>
        <v/>
      </c>
      <c r="P13" s="23" t="str">
        <f t="shared" ca="1" si="4"/>
        <v/>
      </c>
      <c r="Q13" s="23" t="str">
        <f t="shared" ca="1" si="4"/>
        <v/>
      </c>
      <c r="R13" s="23" t="str">
        <f t="shared" ca="1" si="4"/>
        <v/>
      </c>
      <c r="S13" s="23" t="str">
        <f t="shared" ca="1" si="4"/>
        <v/>
      </c>
      <c r="T13" s="23" t="str">
        <f t="shared" ca="1" si="4"/>
        <v/>
      </c>
      <c r="U13" s="23" t="str">
        <f t="shared" ca="1" si="4"/>
        <v/>
      </c>
      <c r="V13" s="23" t="str">
        <f t="shared" ca="1" si="4"/>
        <v/>
      </c>
      <c r="W13" s="23" t="str">
        <f t="shared" ca="1" si="4"/>
        <v/>
      </c>
      <c r="X13" s="23" t="str">
        <f t="shared" ca="1" si="4"/>
        <v/>
      </c>
      <c r="Y13" s="23" t="str">
        <f t="shared" ca="1" si="5"/>
        <v/>
      </c>
      <c r="Z13" s="23" t="str">
        <f t="shared" ca="1" si="5"/>
        <v/>
      </c>
      <c r="AA13" s="23" t="str">
        <f t="shared" ca="1" si="5"/>
        <v/>
      </c>
      <c r="AB13" s="23" t="str">
        <f t="shared" ca="1" si="5"/>
        <v/>
      </c>
      <c r="AC13" s="23" t="str">
        <f t="shared" ca="1" si="5"/>
        <v/>
      </c>
      <c r="AD13" s="23" t="str">
        <f t="shared" ca="1" si="5"/>
        <v/>
      </c>
      <c r="AE13" s="23" t="str">
        <f t="shared" ca="1" si="5"/>
        <v/>
      </c>
      <c r="AF13" s="23" t="str">
        <f t="shared" ca="1" si="5"/>
        <v/>
      </c>
      <c r="AG13" s="23" t="str">
        <f t="shared" ca="1" si="5"/>
        <v/>
      </c>
      <c r="AH13" s="23" t="str">
        <f t="shared" ca="1" si="5"/>
        <v/>
      </c>
      <c r="AI13" s="23" t="str">
        <f t="shared" ca="1" si="5"/>
        <v/>
      </c>
      <c r="AJ13" s="23" t="str">
        <f t="shared" ca="1" si="5"/>
        <v/>
      </c>
      <c r="AK13" s="23" t="str">
        <f t="shared" ca="1" si="5"/>
        <v/>
      </c>
      <c r="AL13" s="23" t="str">
        <f t="shared" ca="1" si="5"/>
        <v/>
      </c>
      <c r="AM13" s="23" t="str">
        <f t="shared" ca="1" si="5"/>
        <v/>
      </c>
      <c r="AN13" s="23" t="str">
        <f t="shared" ca="1" si="5"/>
        <v/>
      </c>
      <c r="AO13" s="23" t="str">
        <f t="shared" ca="1" si="6"/>
        <v/>
      </c>
      <c r="AP13" s="23" t="str">
        <f t="shared" ca="1" si="6"/>
        <v/>
      </c>
      <c r="AQ13" s="23" t="str">
        <f t="shared" ca="1" si="6"/>
        <v/>
      </c>
      <c r="AR13" s="23" t="str">
        <f t="shared" ca="1" si="6"/>
        <v/>
      </c>
      <c r="AS13" s="23" t="str">
        <f t="shared" ca="1" si="6"/>
        <v/>
      </c>
      <c r="AT13" s="23" t="str">
        <f t="shared" ca="1" si="6"/>
        <v/>
      </c>
      <c r="AU13" s="23" t="str">
        <f t="shared" ca="1" si="6"/>
        <v/>
      </c>
      <c r="AV13" s="23" t="str">
        <f t="shared" ca="1" si="6"/>
        <v/>
      </c>
      <c r="AW13" s="23" t="str">
        <f t="shared" ca="1" si="6"/>
        <v/>
      </c>
      <c r="AX13" s="23" t="str">
        <f t="shared" ca="1" si="6"/>
        <v/>
      </c>
      <c r="AY13" s="23" t="str">
        <f t="shared" ca="1" si="6"/>
        <v/>
      </c>
      <c r="AZ13" s="23" t="str">
        <f t="shared" ca="1" si="6"/>
        <v/>
      </c>
      <c r="BA13" s="23" t="str">
        <f t="shared" ca="1" si="6"/>
        <v/>
      </c>
      <c r="BB13" s="23" t="str">
        <f t="shared" ca="1" si="6"/>
        <v/>
      </c>
      <c r="BC13" s="23" t="str">
        <f t="shared" ca="1" si="6"/>
        <v/>
      </c>
      <c r="BD13" s="23" t="str">
        <f t="shared" ca="1" si="6"/>
        <v/>
      </c>
      <c r="BE13" s="23" t="str">
        <f t="shared" ca="1" si="7"/>
        <v/>
      </c>
      <c r="BF13" s="23" t="str">
        <f t="shared" ca="1" si="7"/>
        <v/>
      </c>
      <c r="BG13" s="23" t="str">
        <f t="shared" ca="1" si="7"/>
        <v/>
      </c>
      <c r="BH13" s="23" t="str">
        <f t="shared" ca="1" si="7"/>
        <v/>
      </c>
      <c r="BI13" s="23" t="str">
        <f t="shared" ca="1" si="7"/>
        <v/>
      </c>
      <c r="BJ13" s="23" t="str">
        <f t="shared" ca="1" si="7"/>
        <v/>
      </c>
      <c r="BK13" s="23" t="str">
        <f t="shared" ca="1" si="7"/>
        <v/>
      </c>
      <c r="BL13" s="23" t="str">
        <f t="shared" ca="1" si="7"/>
        <v/>
      </c>
    </row>
    <row r="14" spans="1:68" s="1" customFormat="1" ht="40.15" customHeight="1" x14ac:dyDescent="0.25">
      <c r="A14" s="9"/>
      <c r="B14" s="56" t="s">
        <v>12</v>
      </c>
      <c r="C14" s="52" t="s">
        <v>22</v>
      </c>
      <c r="D14" s="52"/>
      <c r="E14" s="53">
        <v>0.5</v>
      </c>
      <c r="F14" s="54">
        <f ca="1">F12-3</f>
        <v>46173</v>
      </c>
      <c r="G14" s="55">
        <v>10</v>
      </c>
      <c r="H14" s="52"/>
      <c r="I14" s="23" t="str">
        <f t="shared" ca="1" si="8"/>
        <v/>
      </c>
      <c r="J14" s="23" t="str">
        <f t="shared" ca="1" si="4"/>
        <v/>
      </c>
      <c r="K14" s="23" t="str">
        <f t="shared" ca="1" si="4"/>
        <v/>
      </c>
      <c r="L14" s="23" t="str">
        <f t="shared" ca="1" si="4"/>
        <v/>
      </c>
      <c r="M14" s="23" t="str">
        <f t="shared" ca="1" si="4"/>
        <v/>
      </c>
      <c r="N14" s="23" t="str">
        <f t="shared" ca="1" si="4"/>
        <v/>
      </c>
      <c r="O14" s="23" t="str">
        <f t="shared" ca="1" si="4"/>
        <v/>
      </c>
      <c r="P14" s="23" t="str">
        <f t="shared" ca="1" si="4"/>
        <v/>
      </c>
      <c r="Q14" s="23" t="str">
        <f t="shared" ca="1" si="4"/>
        <v/>
      </c>
      <c r="R14" s="23" t="str">
        <f t="shared" ca="1" si="4"/>
        <v/>
      </c>
      <c r="S14" s="23" t="str">
        <f t="shared" ca="1" si="4"/>
        <v/>
      </c>
      <c r="T14" s="23" t="str">
        <f t="shared" ca="1" si="4"/>
        <v/>
      </c>
      <c r="U14" s="23" t="str">
        <f t="shared" ca="1" si="4"/>
        <v/>
      </c>
      <c r="V14" s="23" t="str">
        <f t="shared" ca="1" si="4"/>
        <v/>
      </c>
      <c r="W14" s="23" t="str">
        <f t="shared" ca="1" si="4"/>
        <v/>
      </c>
      <c r="X14" s="23" t="str">
        <f t="shared" ca="1" si="4"/>
        <v/>
      </c>
      <c r="Y14" s="23" t="str">
        <f t="shared" ca="1" si="5"/>
        <v/>
      </c>
      <c r="Z14" s="23" t="str">
        <f t="shared" ca="1" si="5"/>
        <v/>
      </c>
      <c r="AA14" s="23" t="str">
        <f t="shared" ca="1" si="5"/>
        <v/>
      </c>
      <c r="AB14" s="23" t="str">
        <f t="shared" ca="1" si="5"/>
        <v/>
      </c>
      <c r="AC14" s="23" t="str">
        <f t="shared" ca="1" si="5"/>
        <v/>
      </c>
      <c r="AD14" s="23" t="str">
        <f t="shared" ca="1" si="5"/>
        <v/>
      </c>
      <c r="AE14" s="23" t="str">
        <f t="shared" ca="1" si="5"/>
        <v/>
      </c>
      <c r="AF14" s="23" t="str">
        <f t="shared" ca="1" si="5"/>
        <v/>
      </c>
      <c r="AG14" s="23" t="str">
        <f t="shared" ca="1" si="5"/>
        <v/>
      </c>
      <c r="AH14" s="23" t="str">
        <f t="shared" ca="1" si="5"/>
        <v/>
      </c>
      <c r="AI14" s="23" t="str">
        <f t="shared" ca="1" si="5"/>
        <v/>
      </c>
      <c r="AJ14" s="23" t="str">
        <f t="shared" ca="1" si="5"/>
        <v/>
      </c>
      <c r="AK14" s="23" t="str">
        <f t="shared" ca="1" si="5"/>
        <v/>
      </c>
      <c r="AL14" s="23" t="str">
        <f t="shared" ca="1" si="5"/>
        <v/>
      </c>
      <c r="AM14" s="23" t="str">
        <f t="shared" ca="1" si="5"/>
        <v/>
      </c>
      <c r="AN14" s="23" t="str">
        <f t="shared" ca="1" si="5"/>
        <v/>
      </c>
      <c r="AO14" s="23" t="str">
        <f t="shared" ca="1" si="6"/>
        <v/>
      </c>
      <c r="AP14" s="23" t="str">
        <f t="shared" ca="1" si="6"/>
        <v/>
      </c>
      <c r="AQ14" s="23" t="str">
        <f t="shared" ca="1" si="6"/>
        <v/>
      </c>
      <c r="AR14" s="23" t="str">
        <f t="shared" ca="1" si="6"/>
        <v/>
      </c>
      <c r="AS14" s="23" t="str">
        <f t="shared" ca="1" si="6"/>
        <v/>
      </c>
      <c r="AT14" s="23" t="str">
        <f t="shared" ca="1" si="6"/>
        <v/>
      </c>
      <c r="AU14" s="23" t="str">
        <f t="shared" ca="1" si="6"/>
        <v/>
      </c>
      <c r="AV14" s="23" t="str">
        <f t="shared" ca="1" si="6"/>
        <v/>
      </c>
      <c r="AW14" s="23" t="str">
        <f t="shared" ca="1" si="6"/>
        <v/>
      </c>
      <c r="AX14" s="23" t="str">
        <f t="shared" ca="1" si="6"/>
        <v/>
      </c>
      <c r="AY14" s="23" t="str">
        <f t="shared" ca="1" si="6"/>
        <v/>
      </c>
      <c r="AZ14" s="23" t="str">
        <f t="shared" ca="1" si="6"/>
        <v/>
      </c>
      <c r="BA14" s="23" t="str">
        <f t="shared" ca="1" si="6"/>
        <v/>
      </c>
      <c r="BB14" s="23" t="str">
        <f t="shared" ca="1" si="6"/>
        <v/>
      </c>
      <c r="BC14" s="23" t="str">
        <f t="shared" ca="1" si="6"/>
        <v/>
      </c>
      <c r="BD14" s="23" t="str">
        <f t="shared" ca="1" si="6"/>
        <v/>
      </c>
      <c r="BE14" s="23" t="str">
        <f t="shared" ca="1" si="7"/>
        <v/>
      </c>
      <c r="BF14" s="23" t="str">
        <f t="shared" ca="1" si="7"/>
        <v/>
      </c>
      <c r="BG14" s="23" t="str">
        <f t="shared" ca="1" si="7"/>
        <v/>
      </c>
      <c r="BH14" s="23" t="str">
        <f t="shared" ca="1" si="7"/>
        <v/>
      </c>
      <c r="BI14" s="23" t="str">
        <f t="shared" ca="1" si="7"/>
        <v/>
      </c>
      <c r="BJ14" s="23" t="str">
        <f t="shared" ca="1" si="7"/>
        <v/>
      </c>
      <c r="BK14" s="23" t="str">
        <f t="shared" ca="1" si="7"/>
        <v/>
      </c>
      <c r="BL14" s="23" t="str">
        <f t="shared" ca="1" si="7"/>
        <v/>
      </c>
    </row>
    <row r="15" spans="1:68" s="1" customFormat="1" ht="40.15" customHeight="1" x14ac:dyDescent="0.25">
      <c r="A15" s="9"/>
      <c r="B15" s="56" t="s">
        <v>13</v>
      </c>
      <c r="C15" s="52" t="s">
        <v>21</v>
      </c>
      <c r="D15" s="52"/>
      <c r="E15" s="53"/>
      <c r="F15" s="54">
        <f ca="1">F12+20</f>
        <v>46196</v>
      </c>
      <c r="G15" s="55">
        <v>1</v>
      </c>
      <c r="H15" s="52"/>
      <c r="I15" s="23" t="str">
        <f t="shared" ref="I15:R24" ca="1" si="9">IF(AND($C15="Objetivo",I$7&gt;=$F15,I$7&lt;=$F15+$G15-1),2,IF(AND($C15="Marco",I$7&gt;=$F15,I$7&lt;=$F15+$G15-1),1,""))</f>
        <v/>
      </c>
      <c r="J15" s="23" t="str">
        <f t="shared" ca="1" si="9"/>
        <v/>
      </c>
      <c r="K15" s="23" t="str">
        <f t="shared" ca="1" si="9"/>
        <v/>
      </c>
      <c r="L15" s="23" t="str">
        <f t="shared" ca="1" si="9"/>
        <v/>
      </c>
      <c r="M15" s="23" t="str">
        <f t="shared" ca="1" si="9"/>
        <v/>
      </c>
      <c r="N15" s="23" t="str">
        <f t="shared" ca="1" si="9"/>
        <v/>
      </c>
      <c r="O15" s="23" t="str">
        <f t="shared" ca="1" si="9"/>
        <v/>
      </c>
      <c r="P15" s="23" t="str">
        <f t="shared" ca="1" si="9"/>
        <v/>
      </c>
      <c r="Q15" s="23" t="str">
        <f t="shared" ca="1" si="9"/>
        <v/>
      </c>
      <c r="R15" s="23" t="str">
        <f t="shared" ca="1" si="9"/>
        <v/>
      </c>
      <c r="S15" s="23" t="str">
        <f t="shared" ref="S15:AB24" ca="1" si="10">IF(AND($C15="Objetivo",S$7&gt;=$F15,S$7&lt;=$F15+$G15-1),2,IF(AND($C15="Marco",S$7&gt;=$F15,S$7&lt;=$F15+$G15-1),1,""))</f>
        <v/>
      </c>
      <c r="T15" s="23" t="str">
        <f t="shared" ca="1" si="10"/>
        <v/>
      </c>
      <c r="U15" s="23" t="str">
        <f t="shared" ca="1" si="10"/>
        <v/>
      </c>
      <c r="V15" s="23" t="str">
        <f t="shared" ca="1" si="10"/>
        <v/>
      </c>
      <c r="W15" s="23" t="str">
        <f t="shared" ca="1" si="10"/>
        <v/>
      </c>
      <c r="X15" s="23" t="str">
        <f t="shared" ca="1" si="10"/>
        <v/>
      </c>
      <c r="Y15" s="23" t="str">
        <f t="shared" ca="1" si="10"/>
        <v/>
      </c>
      <c r="Z15" s="23" t="str">
        <f t="shared" ca="1" si="10"/>
        <v/>
      </c>
      <c r="AA15" s="23" t="str">
        <f t="shared" ca="1" si="10"/>
        <v/>
      </c>
      <c r="AB15" s="23">
        <f t="shared" ca="1" si="10"/>
        <v>1</v>
      </c>
      <c r="AC15" s="23" t="str">
        <f t="shared" ref="AC15:AL24" ca="1" si="11">IF(AND($C15="Objetivo",AC$7&gt;=$F15,AC$7&lt;=$F15+$G15-1),2,IF(AND($C15="Marco",AC$7&gt;=$F15,AC$7&lt;=$F15+$G15-1),1,""))</f>
        <v/>
      </c>
      <c r="AD15" s="23" t="str">
        <f t="shared" ca="1" si="11"/>
        <v/>
      </c>
      <c r="AE15" s="23" t="str">
        <f t="shared" ca="1" si="11"/>
        <v/>
      </c>
      <c r="AF15" s="23" t="str">
        <f t="shared" ca="1" si="11"/>
        <v/>
      </c>
      <c r="AG15" s="23" t="str">
        <f t="shared" ca="1" si="11"/>
        <v/>
      </c>
      <c r="AH15" s="23" t="str">
        <f t="shared" ca="1" si="11"/>
        <v/>
      </c>
      <c r="AI15" s="23" t="str">
        <f t="shared" ca="1" si="11"/>
        <v/>
      </c>
      <c r="AJ15" s="23" t="str">
        <f t="shared" ca="1" si="11"/>
        <v/>
      </c>
      <c r="AK15" s="23" t="str">
        <f t="shared" ca="1" si="11"/>
        <v/>
      </c>
      <c r="AL15" s="23" t="str">
        <f t="shared" ca="1" si="11"/>
        <v/>
      </c>
      <c r="AM15" s="23" t="str">
        <f t="shared" ref="AM15:AV24" ca="1" si="12">IF(AND($C15="Objetivo",AM$7&gt;=$F15,AM$7&lt;=$F15+$G15-1),2,IF(AND($C15="Marco",AM$7&gt;=$F15,AM$7&lt;=$F15+$G15-1),1,""))</f>
        <v/>
      </c>
      <c r="AN15" s="23" t="str">
        <f t="shared" ca="1" si="12"/>
        <v/>
      </c>
      <c r="AO15" s="23" t="str">
        <f t="shared" ca="1" si="12"/>
        <v/>
      </c>
      <c r="AP15" s="23" t="str">
        <f t="shared" ca="1" si="12"/>
        <v/>
      </c>
      <c r="AQ15" s="23" t="str">
        <f t="shared" ca="1" si="12"/>
        <v/>
      </c>
      <c r="AR15" s="23" t="str">
        <f t="shared" ca="1" si="12"/>
        <v/>
      </c>
      <c r="AS15" s="23" t="str">
        <f t="shared" ca="1" si="12"/>
        <v/>
      </c>
      <c r="AT15" s="23" t="str">
        <f t="shared" ca="1" si="12"/>
        <v/>
      </c>
      <c r="AU15" s="23" t="str">
        <f t="shared" ca="1" si="12"/>
        <v/>
      </c>
      <c r="AV15" s="23" t="str">
        <f t="shared" ca="1" si="12"/>
        <v/>
      </c>
      <c r="AW15" s="23" t="str">
        <f t="shared" ref="AW15:BF24" ca="1" si="13">IF(AND($C15="Objetivo",AW$7&gt;=$F15,AW$7&lt;=$F15+$G15-1),2,IF(AND($C15="Marco",AW$7&gt;=$F15,AW$7&lt;=$F15+$G15-1),1,""))</f>
        <v/>
      </c>
      <c r="AX15" s="23" t="str">
        <f t="shared" ca="1" si="13"/>
        <v/>
      </c>
      <c r="AY15" s="23" t="str">
        <f t="shared" ca="1" si="13"/>
        <v/>
      </c>
      <c r="AZ15" s="23" t="str">
        <f t="shared" ca="1" si="13"/>
        <v/>
      </c>
      <c r="BA15" s="23" t="str">
        <f t="shared" ca="1" si="13"/>
        <v/>
      </c>
      <c r="BB15" s="23" t="str">
        <f t="shared" ca="1" si="13"/>
        <v/>
      </c>
      <c r="BC15" s="23" t="str">
        <f t="shared" ca="1" si="13"/>
        <v/>
      </c>
      <c r="BD15" s="23" t="str">
        <f t="shared" ca="1" si="13"/>
        <v/>
      </c>
      <c r="BE15" s="23" t="str">
        <f t="shared" ca="1" si="13"/>
        <v/>
      </c>
      <c r="BF15" s="23" t="str">
        <f t="shared" ca="1" si="13"/>
        <v/>
      </c>
      <c r="BG15" s="23" t="str">
        <f t="shared" ref="BG15:BL24" ca="1" si="14">IF(AND($C15="Objetivo",BG$7&gt;=$F15,BG$7&lt;=$F15+$G15-1),2,IF(AND($C15="Marco",BG$7&gt;=$F15,BG$7&lt;=$F15+$G15-1),1,""))</f>
        <v/>
      </c>
      <c r="BH15" s="23" t="str">
        <f t="shared" ca="1" si="14"/>
        <v/>
      </c>
      <c r="BI15" s="23" t="str">
        <f t="shared" ca="1" si="14"/>
        <v/>
      </c>
      <c r="BJ15" s="23" t="str">
        <f t="shared" ca="1" si="14"/>
        <v/>
      </c>
      <c r="BK15" s="23" t="str">
        <f t="shared" ca="1" si="14"/>
        <v/>
      </c>
      <c r="BL15" s="23" t="str">
        <f t="shared" ca="1" si="14"/>
        <v/>
      </c>
    </row>
    <row r="16" spans="1:68" s="1" customFormat="1" ht="40.15" customHeight="1" x14ac:dyDescent="0.25">
      <c r="A16" s="9"/>
      <c r="B16" s="56" t="s">
        <v>14</v>
      </c>
      <c r="C16" s="52" t="s">
        <v>23</v>
      </c>
      <c r="D16" s="52"/>
      <c r="E16" s="53">
        <v>0.1</v>
      </c>
      <c r="F16" s="54">
        <f ca="1">F12+6</f>
        <v>46182</v>
      </c>
      <c r="G16" s="55">
        <v>6</v>
      </c>
      <c r="H16" s="52"/>
      <c r="I16" s="23" t="str">
        <f t="shared" ca="1" si="9"/>
        <v/>
      </c>
      <c r="J16" s="23" t="str">
        <f t="shared" ca="1" si="9"/>
        <v/>
      </c>
      <c r="K16" s="23" t="str">
        <f t="shared" ca="1" si="9"/>
        <v/>
      </c>
      <c r="L16" s="23" t="str">
        <f t="shared" ca="1" si="9"/>
        <v/>
      </c>
      <c r="M16" s="23" t="str">
        <f t="shared" ca="1" si="9"/>
        <v/>
      </c>
      <c r="N16" s="23" t="str">
        <f t="shared" ca="1" si="9"/>
        <v/>
      </c>
      <c r="O16" s="23" t="str">
        <f t="shared" ca="1" si="9"/>
        <v/>
      </c>
      <c r="P16" s="23" t="str">
        <f t="shared" ca="1" si="9"/>
        <v/>
      </c>
      <c r="Q16" s="23" t="str">
        <f t="shared" ca="1" si="9"/>
        <v/>
      </c>
      <c r="R16" s="23" t="str">
        <f t="shared" ca="1" si="9"/>
        <v/>
      </c>
      <c r="S16" s="23" t="str">
        <f t="shared" ca="1" si="10"/>
        <v/>
      </c>
      <c r="T16" s="23" t="str">
        <f t="shared" ca="1" si="10"/>
        <v/>
      </c>
      <c r="U16" s="23" t="str">
        <f t="shared" ca="1" si="10"/>
        <v/>
      </c>
      <c r="V16" s="23" t="str">
        <f t="shared" ca="1" si="10"/>
        <v/>
      </c>
      <c r="W16" s="23" t="str">
        <f t="shared" ca="1" si="10"/>
        <v/>
      </c>
      <c r="X16" s="23" t="str">
        <f t="shared" ca="1" si="10"/>
        <v/>
      </c>
      <c r="Y16" s="23" t="str">
        <f t="shared" ca="1" si="10"/>
        <v/>
      </c>
      <c r="Z16" s="23" t="str">
        <f t="shared" ca="1" si="10"/>
        <v/>
      </c>
      <c r="AA16" s="23" t="str">
        <f t="shared" ca="1" si="10"/>
        <v/>
      </c>
      <c r="AB16" s="23" t="str">
        <f t="shared" ca="1" si="10"/>
        <v/>
      </c>
      <c r="AC16" s="23" t="str">
        <f t="shared" ca="1" si="11"/>
        <v/>
      </c>
      <c r="AD16" s="23" t="str">
        <f t="shared" ca="1" si="11"/>
        <v/>
      </c>
      <c r="AE16" s="23" t="str">
        <f t="shared" ca="1" si="11"/>
        <v/>
      </c>
      <c r="AF16" s="23" t="str">
        <f t="shared" ca="1" si="11"/>
        <v/>
      </c>
      <c r="AG16" s="23" t="str">
        <f t="shared" ca="1" si="11"/>
        <v/>
      </c>
      <c r="AH16" s="23" t="str">
        <f t="shared" ca="1" si="11"/>
        <v/>
      </c>
      <c r="AI16" s="23" t="str">
        <f t="shared" ca="1" si="11"/>
        <v/>
      </c>
      <c r="AJ16" s="23" t="str">
        <f t="shared" ca="1" si="11"/>
        <v/>
      </c>
      <c r="AK16" s="23" t="str">
        <f t="shared" ca="1" si="11"/>
        <v/>
      </c>
      <c r="AL16" s="23" t="str">
        <f t="shared" ca="1" si="11"/>
        <v/>
      </c>
      <c r="AM16" s="23" t="str">
        <f t="shared" ca="1" si="12"/>
        <v/>
      </c>
      <c r="AN16" s="23" t="str">
        <f t="shared" ca="1" si="12"/>
        <v/>
      </c>
      <c r="AO16" s="23" t="str">
        <f t="shared" ca="1" si="12"/>
        <v/>
      </c>
      <c r="AP16" s="23" t="str">
        <f t="shared" ca="1" si="12"/>
        <v/>
      </c>
      <c r="AQ16" s="23" t="str">
        <f t="shared" ca="1" si="12"/>
        <v/>
      </c>
      <c r="AR16" s="23" t="str">
        <f t="shared" ca="1" si="12"/>
        <v/>
      </c>
      <c r="AS16" s="23" t="str">
        <f t="shared" ca="1" si="12"/>
        <v/>
      </c>
      <c r="AT16" s="23" t="str">
        <f t="shared" ca="1" si="12"/>
        <v/>
      </c>
      <c r="AU16" s="23" t="str">
        <f t="shared" ca="1" si="12"/>
        <v/>
      </c>
      <c r="AV16" s="23" t="str">
        <f t="shared" ca="1" si="12"/>
        <v/>
      </c>
      <c r="AW16" s="23" t="str">
        <f t="shared" ca="1" si="13"/>
        <v/>
      </c>
      <c r="AX16" s="23" t="str">
        <f t="shared" ca="1" si="13"/>
        <v/>
      </c>
      <c r="AY16" s="23" t="str">
        <f t="shared" ca="1" si="13"/>
        <v/>
      </c>
      <c r="AZ16" s="23" t="str">
        <f t="shared" ca="1" si="13"/>
        <v/>
      </c>
      <c r="BA16" s="23" t="str">
        <f t="shared" ca="1" si="13"/>
        <v/>
      </c>
      <c r="BB16" s="23" t="str">
        <f t="shared" ca="1" si="13"/>
        <v/>
      </c>
      <c r="BC16" s="23" t="str">
        <f t="shared" ca="1" si="13"/>
        <v/>
      </c>
      <c r="BD16" s="23" t="str">
        <f t="shared" ca="1" si="13"/>
        <v/>
      </c>
      <c r="BE16" s="23" t="str">
        <f t="shared" ca="1" si="13"/>
        <v/>
      </c>
      <c r="BF16" s="23" t="str">
        <f t="shared" ca="1" si="13"/>
        <v/>
      </c>
      <c r="BG16" s="23" t="str">
        <f t="shared" ca="1" si="14"/>
        <v/>
      </c>
      <c r="BH16" s="23" t="str">
        <f t="shared" ca="1" si="14"/>
        <v/>
      </c>
      <c r="BI16" s="23" t="str">
        <f t="shared" ca="1" si="14"/>
        <v/>
      </c>
      <c r="BJ16" s="23" t="str">
        <f t="shared" ca="1" si="14"/>
        <v/>
      </c>
      <c r="BK16" s="23" t="str">
        <f t="shared" ca="1" si="14"/>
        <v/>
      </c>
      <c r="BL16" s="23" t="str">
        <f t="shared" ca="1" si="14"/>
        <v/>
      </c>
    </row>
    <row r="17" spans="1:64" s="1" customFormat="1" ht="40.15" customHeight="1" x14ac:dyDescent="0.25">
      <c r="A17" s="10"/>
      <c r="B17" s="98" t="s">
        <v>15</v>
      </c>
      <c r="C17" s="52"/>
      <c r="D17" s="52"/>
      <c r="E17" s="53"/>
      <c r="F17" s="54"/>
      <c r="G17" s="55"/>
      <c r="H17" s="52"/>
      <c r="I17" s="23" t="str">
        <f t="shared" ca="1" si="9"/>
        <v/>
      </c>
      <c r="J17" s="23" t="str">
        <f t="shared" ca="1" si="9"/>
        <v/>
      </c>
      <c r="K17" s="23" t="str">
        <f t="shared" ca="1" si="9"/>
        <v/>
      </c>
      <c r="L17" s="23" t="str">
        <f t="shared" ca="1" si="9"/>
        <v/>
      </c>
      <c r="M17" s="23" t="str">
        <f t="shared" ca="1" si="9"/>
        <v/>
      </c>
      <c r="N17" s="23" t="str">
        <f t="shared" ca="1" si="9"/>
        <v/>
      </c>
      <c r="O17" s="23" t="str">
        <f t="shared" ca="1" si="9"/>
        <v/>
      </c>
      <c r="P17" s="23" t="str">
        <f t="shared" ca="1" si="9"/>
        <v/>
      </c>
      <c r="Q17" s="23" t="str">
        <f t="shared" ca="1" si="9"/>
        <v/>
      </c>
      <c r="R17" s="23" t="str">
        <f t="shared" ca="1" si="9"/>
        <v/>
      </c>
      <c r="S17" s="23" t="str">
        <f t="shared" ca="1" si="10"/>
        <v/>
      </c>
      <c r="T17" s="23" t="str">
        <f t="shared" ca="1" si="10"/>
        <v/>
      </c>
      <c r="U17" s="23" t="str">
        <f t="shared" ca="1" si="10"/>
        <v/>
      </c>
      <c r="V17" s="23" t="str">
        <f t="shared" ca="1" si="10"/>
        <v/>
      </c>
      <c r="W17" s="23" t="str">
        <f t="shared" ca="1" si="10"/>
        <v/>
      </c>
      <c r="X17" s="23" t="str">
        <f t="shared" ca="1" si="10"/>
        <v/>
      </c>
      <c r="Y17" s="23" t="str">
        <f t="shared" ca="1" si="10"/>
        <v/>
      </c>
      <c r="Z17" s="23" t="str">
        <f t="shared" ca="1" si="10"/>
        <v/>
      </c>
      <c r="AA17" s="23" t="str">
        <f t="shared" ca="1" si="10"/>
        <v/>
      </c>
      <c r="AB17" s="23" t="str">
        <f t="shared" ca="1" si="10"/>
        <v/>
      </c>
      <c r="AC17" s="23" t="str">
        <f t="shared" ca="1" si="11"/>
        <v/>
      </c>
      <c r="AD17" s="23" t="str">
        <f t="shared" ca="1" si="11"/>
        <v/>
      </c>
      <c r="AE17" s="23" t="str">
        <f t="shared" ca="1" si="11"/>
        <v/>
      </c>
      <c r="AF17" s="23" t="str">
        <f t="shared" ca="1" si="11"/>
        <v/>
      </c>
      <c r="AG17" s="23" t="str">
        <f t="shared" ca="1" si="11"/>
        <v/>
      </c>
      <c r="AH17" s="23" t="str">
        <f t="shared" ca="1" si="11"/>
        <v/>
      </c>
      <c r="AI17" s="23" t="str">
        <f t="shared" ca="1" si="11"/>
        <v/>
      </c>
      <c r="AJ17" s="23" t="str">
        <f t="shared" ca="1" si="11"/>
        <v/>
      </c>
      <c r="AK17" s="23" t="str">
        <f t="shared" ca="1" si="11"/>
        <v/>
      </c>
      <c r="AL17" s="23" t="str">
        <f t="shared" ca="1" si="11"/>
        <v/>
      </c>
      <c r="AM17" s="23" t="str">
        <f t="shared" ca="1" si="12"/>
        <v/>
      </c>
      <c r="AN17" s="23" t="str">
        <f t="shared" ca="1" si="12"/>
        <v/>
      </c>
      <c r="AO17" s="23" t="str">
        <f t="shared" ca="1" si="12"/>
        <v/>
      </c>
      <c r="AP17" s="23" t="str">
        <f t="shared" ca="1" si="12"/>
        <v/>
      </c>
      <c r="AQ17" s="23" t="str">
        <f t="shared" ca="1" si="12"/>
        <v/>
      </c>
      <c r="AR17" s="23" t="str">
        <f t="shared" ca="1" si="12"/>
        <v/>
      </c>
      <c r="AS17" s="23" t="str">
        <f t="shared" ca="1" si="12"/>
        <v/>
      </c>
      <c r="AT17" s="23" t="str">
        <f t="shared" ca="1" si="12"/>
        <v/>
      </c>
      <c r="AU17" s="23" t="str">
        <f t="shared" ca="1" si="12"/>
        <v/>
      </c>
      <c r="AV17" s="23" t="str">
        <f t="shared" ca="1" si="12"/>
        <v/>
      </c>
      <c r="AW17" s="23" t="str">
        <f t="shared" ca="1" si="13"/>
        <v/>
      </c>
      <c r="AX17" s="23" t="str">
        <f t="shared" ca="1" si="13"/>
        <v/>
      </c>
      <c r="AY17" s="23" t="str">
        <f t="shared" ca="1" si="13"/>
        <v/>
      </c>
      <c r="AZ17" s="23" t="str">
        <f t="shared" ca="1" si="13"/>
        <v/>
      </c>
      <c r="BA17" s="23" t="str">
        <f t="shared" ca="1" si="13"/>
        <v/>
      </c>
      <c r="BB17" s="23" t="str">
        <f t="shared" ca="1" si="13"/>
        <v/>
      </c>
      <c r="BC17" s="23" t="str">
        <f t="shared" ca="1" si="13"/>
        <v/>
      </c>
      <c r="BD17" s="23" t="str">
        <f t="shared" ca="1" si="13"/>
        <v/>
      </c>
      <c r="BE17" s="23" t="str">
        <f t="shared" ca="1" si="13"/>
        <v/>
      </c>
      <c r="BF17" s="23" t="str">
        <f t="shared" ca="1" si="13"/>
        <v/>
      </c>
      <c r="BG17" s="23" t="str">
        <f t="shared" ca="1" si="14"/>
        <v/>
      </c>
      <c r="BH17" s="23" t="str">
        <f t="shared" ca="1" si="14"/>
        <v/>
      </c>
      <c r="BI17" s="23" t="str">
        <f t="shared" ca="1" si="14"/>
        <v/>
      </c>
      <c r="BJ17" s="23" t="str">
        <f t="shared" ca="1" si="14"/>
        <v/>
      </c>
      <c r="BK17" s="23" t="str">
        <f t="shared" ca="1" si="14"/>
        <v/>
      </c>
      <c r="BL17" s="23" t="str">
        <f t="shared" ca="1" si="14"/>
        <v/>
      </c>
    </row>
    <row r="18" spans="1:64" s="1" customFormat="1" ht="40.15" customHeight="1" x14ac:dyDescent="0.25">
      <c r="A18" s="10"/>
      <c r="B18" s="56" t="s">
        <v>10</v>
      </c>
      <c r="C18" s="52" t="s">
        <v>24</v>
      </c>
      <c r="D18" s="52"/>
      <c r="E18" s="53">
        <v>0.6</v>
      </c>
      <c r="F18" s="54">
        <f ca="1">F12+6</f>
        <v>46182</v>
      </c>
      <c r="G18" s="55">
        <v>13</v>
      </c>
      <c r="H18" s="52"/>
      <c r="I18" s="23" t="str">
        <f t="shared" ca="1" si="9"/>
        <v/>
      </c>
      <c r="J18" s="23" t="str">
        <f t="shared" ca="1" si="9"/>
        <v/>
      </c>
      <c r="K18" s="23" t="str">
        <f t="shared" ca="1" si="9"/>
        <v/>
      </c>
      <c r="L18" s="23" t="str">
        <f t="shared" ca="1" si="9"/>
        <v/>
      </c>
      <c r="M18" s="23" t="str">
        <f t="shared" ca="1" si="9"/>
        <v/>
      </c>
      <c r="N18" s="23" t="str">
        <f t="shared" ca="1" si="9"/>
        <v/>
      </c>
      <c r="O18" s="23" t="str">
        <f t="shared" ca="1" si="9"/>
        <v/>
      </c>
      <c r="P18" s="23" t="str">
        <f t="shared" ca="1" si="9"/>
        <v/>
      </c>
      <c r="Q18" s="23" t="str">
        <f t="shared" ca="1" si="9"/>
        <v/>
      </c>
      <c r="R18" s="23" t="str">
        <f t="shared" ca="1" si="9"/>
        <v/>
      </c>
      <c r="S18" s="23" t="str">
        <f t="shared" ca="1" si="10"/>
        <v/>
      </c>
      <c r="T18" s="23" t="str">
        <f t="shared" ca="1" si="10"/>
        <v/>
      </c>
      <c r="U18" s="23" t="str">
        <f t="shared" ca="1" si="10"/>
        <v/>
      </c>
      <c r="V18" s="23" t="str">
        <f t="shared" ca="1" si="10"/>
        <v/>
      </c>
      <c r="W18" s="23" t="str">
        <f t="shared" ca="1" si="10"/>
        <v/>
      </c>
      <c r="X18" s="23" t="str">
        <f t="shared" ca="1" si="10"/>
        <v/>
      </c>
      <c r="Y18" s="23" t="str">
        <f t="shared" ca="1" si="10"/>
        <v/>
      </c>
      <c r="Z18" s="23" t="str">
        <f t="shared" ca="1" si="10"/>
        <v/>
      </c>
      <c r="AA18" s="23" t="str">
        <f t="shared" ca="1" si="10"/>
        <v/>
      </c>
      <c r="AB18" s="23" t="str">
        <f t="shared" ca="1" si="10"/>
        <v/>
      </c>
      <c r="AC18" s="23" t="str">
        <f t="shared" ca="1" si="11"/>
        <v/>
      </c>
      <c r="AD18" s="23" t="str">
        <f t="shared" ca="1" si="11"/>
        <v/>
      </c>
      <c r="AE18" s="23" t="str">
        <f t="shared" ca="1" si="11"/>
        <v/>
      </c>
      <c r="AF18" s="23" t="str">
        <f t="shared" ca="1" si="11"/>
        <v/>
      </c>
      <c r="AG18" s="23" t="str">
        <f t="shared" ca="1" si="11"/>
        <v/>
      </c>
      <c r="AH18" s="23" t="str">
        <f t="shared" ca="1" si="11"/>
        <v/>
      </c>
      <c r="AI18" s="23" t="str">
        <f t="shared" ca="1" si="11"/>
        <v/>
      </c>
      <c r="AJ18" s="23" t="str">
        <f t="shared" ca="1" si="11"/>
        <v/>
      </c>
      <c r="AK18" s="23" t="str">
        <f t="shared" ca="1" si="11"/>
        <v/>
      </c>
      <c r="AL18" s="23" t="str">
        <f t="shared" ca="1" si="11"/>
        <v/>
      </c>
      <c r="AM18" s="23" t="str">
        <f t="shared" ca="1" si="12"/>
        <v/>
      </c>
      <c r="AN18" s="23" t="str">
        <f t="shared" ca="1" si="12"/>
        <v/>
      </c>
      <c r="AO18" s="23" t="str">
        <f t="shared" ca="1" si="12"/>
        <v/>
      </c>
      <c r="AP18" s="23" t="str">
        <f t="shared" ca="1" si="12"/>
        <v/>
      </c>
      <c r="AQ18" s="23" t="str">
        <f t="shared" ca="1" si="12"/>
        <v/>
      </c>
      <c r="AR18" s="23" t="str">
        <f t="shared" ca="1" si="12"/>
        <v/>
      </c>
      <c r="AS18" s="23" t="str">
        <f t="shared" ca="1" si="12"/>
        <v/>
      </c>
      <c r="AT18" s="23" t="str">
        <f t="shared" ca="1" si="12"/>
        <v/>
      </c>
      <c r="AU18" s="23" t="str">
        <f t="shared" ca="1" si="12"/>
        <v/>
      </c>
      <c r="AV18" s="23" t="str">
        <f t="shared" ca="1" si="12"/>
        <v/>
      </c>
      <c r="AW18" s="23" t="str">
        <f t="shared" ca="1" si="13"/>
        <v/>
      </c>
      <c r="AX18" s="23" t="str">
        <f t="shared" ca="1" si="13"/>
        <v/>
      </c>
      <c r="AY18" s="23" t="str">
        <f t="shared" ca="1" si="13"/>
        <v/>
      </c>
      <c r="AZ18" s="23" t="str">
        <f t="shared" ca="1" si="13"/>
        <v/>
      </c>
      <c r="BA18" s="23" t="str">
        <f t="shared" ca="1" si="13"/>
        <v/>
      </c>
      <c r="BB18" s="23" t="str">
        <f t="shared" ca="1" si="13"/>
        <v/>
      </c>
      <c r="BC18" s="23" t="str">
        <f t="shared" ca="1" si="13"/>
        <v/>
      </c>
      <c r="BD18" s="23" t="str">
        <f t="shared" ca="1" si="13"/>
        <v/>
      </c>
      <c r="BE18" s="23" t="str">
        <f t="shared" ca="1" si="13"/>
        <v/>
      </c>
      <c r="BF18" s="23" t="str">
        <f t="shared" ca="1" si="13"/>
        <v/>
      </c>
      <c r="BG18" s="23" t="str">
        <f t="shared" ca="1" si="14"/>
        <v/>
      </c>
      <c r="BH18" s="23" t="str">
        <f t="shared" ca="1" si="14"/>
        <v/>
      </c>
      <c r="BI18" s="23" t="str">
        <f t="shared" ca="1" si="14"/>
        <v/>
      </c>
      <c r="BJ18" s="23" t="str">
        <f t="shared" ca="1" si="14"/>
        <v/>
      </c>
      <c r="BK18" s="23" t="str">
        <f t="shared" ca="1" si="14"/>
        <v/>
      </c>
      <c r="BL18" s="23" t="str">
        <f t="shared" ca="1" si="14"/>
        <v/>
      </c>
    </row>
    <row r="19" spans="1:64" s="1" customFormat="1" ht="40.15" customHeight="1" x14ac:dyDescent="0.25">
      <c r="A19" s="9"/>
      <c r="B19" s="56" t="s">
        <v>11</v>
      </c>
      <c r="C19" s="52" t="s">
        <v>25</v>
      </c>
      <c r="D19" s="52"/>
      <c r="E19" s="53">
        <v>0.5</v>
      </c>
      <c r="F19" s="54">
        <f ca="1">F18+2</f>
        <v>46184</v>
      </c>
      <c r="G19" s="55">
        <v>9</v>
      </c>
      <c r="H19" s="52"/>
      <c r="I19" s="23" t="str">
        <f t="shared" ca="1" si="9"/>
        <v/>
      </c>
      <c r="J19" s="23" t="str">
        <f t="shared" ca="1" si="9"/>
        <v/>
      </c>
      <c r="K19" s="23" t="str">
        <f t="shared" ca="1" si="9"/>
        <v/>
      </c>
      <c r="L19" s="23" t="str">
        <f t="shared" ca="1" si="9"/>
        <v/>
      </c>
      <c r="M19" s="23" t="str">
        <f t="shared" ca="1" si="9"/>
        <v/>
      </c>
      <c r="N19" s="23" t="str">
        <f t="shared" ca="1" si="9"/>
        <v/>
      </c>
      <c r="O19" s="23" t="str">
        <f t="shared" ca="1" si="9"/>
        <v/>
      </c>
      <c r="P19" s="23" t="str">
        <f t="shared" ca="1" si="9"/>
        <v/>
      </c>
      <c r="Q19" s="23" t="str">
        <f t="shared" ca="1" si="9"/>
        <v/>
      </c>
      <c r="R19" s="23" t="str">
        <f t="shared" ca="1" si="9"/>
        <v/>
      </c>
      <c r="S19" s="23" t="str">
        <f t="shared" ca="1" si="10"/>
        <v/>
      </c>
      <c r="T19" s="23" t="str">
        <f t="shared" ca="1" si="10"/>
        <v/>
      </c>
      <c r="U19" s="23" t="str">
        <f t="shared" ca="1" si="10"/>
        <v/>
      </c>
      <c r="V19" s="23" t="str">
        <f t="shared" ca="1" si="10"/>
        <v/>
      </c>
      <c r="W19" s="23" t="str">
        <f t="shared" ca="1" si="10"/>
        <v/>
      </c>
      <c r="X19" s="23" t="str">
        <f t="shared" ca="1" si="10"/>
        <v/>
      </c>
      <c r="Y19" s="23" t="str">
        <f t="shared" ca="1" si="10"/>
        <v/>
      </c>
      <c r="Z19" s="23" t="str">
        <f t="shared" ca="1" si="10"/>
        <v/>
      </c>
      <c r="AA19" s="23" t="str">
        <f t="shared" ca="1" si="10"/>
        <v/>
      </c>
      <c r="AB19" s="23" t="str">
        <f t="shared" ca="1" si="10"/>
        <v/>
      </c>
      <c r="AC19" s="23" t="str">
        <f t="shared" ca="1" si="11"/>
        <v/>
      </c>
      <c r="AD19" s="23" t="str">
        <f t="shared" ca="1" si="11"/>
        <v/>
      </c>
      <c r="AE19" s="23" t="str">
        <f t="shared" ca="1" si="11"/>
        <v/>
      </c>
      <c r="AF19" s="23" t="str">
        <f t="shared" ca="1" si="11"/>
        <v/>
      </c>
      <c r="AG19" s="23" t="str">
        <f t="shared" ca="1" si="11"/>
        <v/>
      </c>
      <c r="AH19" s="23" t="str">
        <f t="shared" ca="1" si="11"/>
        <v/>
      </c>
      <c r="AI19" s="23" t="str">
        <f t="shared" ca="1" si="11"/>
        <v/>
      </c>
      <c r="AJ19" s="23" t="str">
        <f t="shared" ca="1" si="11"/>
        <v/>
      </c>
      <c r="AK19" s="23" t="str">
        <f t="shared" ca="1" si="11"/>
        <v/>
      </c>
      <c r="AL19" s="23" t="str">
        <f t="shared" ca="1" si="11"/>
        <v/>
      </c>
      <c r="AM19" s="23" t="str">
        <f t="shared" ca="1" si="12"/>
        <v/>
      </c>
      <c r="AN19" s="23" t="str">
        <f t="shared" ca="1" si="12"/>
        <v/>
      </c>
      <c r="AO19" s="23" t="str">
        <f t="shared" ca="1" si="12"/>
        <v/>
      </c>
      <c r="AP19" s="23" t="str">
        <f t="shared" ca="1" si="12"/>
        <v/>
      </c>
      <c r="AQ19" s="23" t="str">
        <f t="shared" ca="1" si="12"/>
        <v/>
      </c>
      <c r="AR19" s="23" t="str">
        <f t="shared" ca="1" si="12"/>
        <v/>
      </c>
      <c r="AS19" s="23" t="str">
        <f t="shared" ca="1" si="12"/>
        <v/>
      </c>
      <c r="AT19" s="23" t="str">
        <f t="shared" ca="1" si="12"/>
        <v/>
      </c>
      <c r="AU19" s="23" t="str">
        <f t="shared" ca="1" si="12"/>
        <v/>
      </c>
      <c r="AV19" s="23" t="str">
        <f t="shared" ca="1" si="12"/>
        <v/>
      </c>
      <c r="AW19" s="23" t="str">
        <f t="shared" ca="1" si="13"/>
        <v/>
      </c>
      <c r="AX19" s="23" t="str">
        <f t="shared" ca="1" si="13"/>
        <v/>
      </c>
      <c r="AY19" s="23" t="str">
        <f t="shared" ca="1" si="13"/>
        <v/>
      </c>
      <c r="AZ19" s="23" t="str">
        <f t="shared" ca="1" si="13"/>
        <v/>
      </c>
      <c r="BA19" s="23" t="str">
        <f t="shared" ca="1" si="13"/>
        <v/>
      </c>
      <c r="BB19" s="23" t="str">
        <f t="shared" ca="1" si="13"/>
        <v/>
      </c>
      <c r="BC19" s="23" t="str">
        <f t="shared" ca="1" si="13"/>
        <v/>
      </c>
      <c r="BD19" s="23" t="str">
        <f t="shared" ca="1" si="13"/>
        <v/>
      </c>
      <c r="BE19" s="23" t="str">
        <f t="shared" ca="1" si="13"/>
        <v/>
      </c>
      <c r="BF19" s="23" t="str">
        <f t="shared" ca="1" si="13"/>
        <v/>
      </c>
      <c r="BG19" s="23" t="str">
        <f t="shared" ca="1" si="14"/>
        <v/>
      </c>
      <c r="BH19" s="23" t="str">
        <f t="shared" ca="1" si="14"/>
        <v/>
      </c>
      <c r="BI19" s="23" t="str">
        <f t="shared" ca="1" si="14"/>
        <v/>
      </c>
      <c r="BJ19" s="23" t="str">
        <f t="shared" ca="1" si="14"/>
        <v/>
      </c>
      <c r="BK19" s="23" t="str">
        <f t="shared" ca="1" si="14"/>
        <v/>
      </c>
      <c r="BL19" s="23" t="str">
        <f t="shared" ca="1" si="14"/>
        <v/>
      </c>
    </row>
    <row r="20" spans="1:64" s="1" customFormat="1" ht="40.15" customHeight="1" x14ac:dyDescent="0.25">
      <c r="A20" s="9"/>
      <c r="B20" s="56" t="s">
        <v>12</v>
      </c>
      <c r="C20" s="52" t="s">
        <v>22</v>
      </c>
      <c r="D20" s="52"/>
      <c r="E20" s="53">
        <v>0.33</v>
      </c>
      <c r="F20" s="54">
        <f ca="1">F19+5</f>
        <v>46189</v>
      </c>
      <c r="G20" s="55">
        <v>11</v>
      </c>
      <c r="H20" s="52"/>
      <c r="I20" s="23" t="str">
        <f t="shared" ca="1" si="9"/>
        <v/>
      </c>
      <c r="J20" s="23" t="str">
        <f t="shared" ca="1" si="9"/>
        <v/>
      </c>
      <c r="K20" s="23" t="str">
        <f t="shared" ca="1" si="9"/>
        <v/>
      </c>
      <c r="L20" s="23" t="str">
        <f t="shared" ca="1" si="9"/>
        <v/>
      </c>
      <c r="M20" s="23" t="str">
        <f t="shared" ca="1" si="9"/>
        <v/>
      </c>
      <c r="N20" s="23" t="str">
        <f t="shared" ca="1" si="9"/>
        <v/>
      </c>
      <c r="O20" s="23" t="str">
        <f t="shared" ca="1" si="9"/>
        <v/>
      </c>
      <c r="P20" s="23" t="str">
        <f t="shared" ca="1" si="9"/>
        <v/>
      </c>
      <c r="Q20" s="23" t="str">
        <f t="shared" ca="1" si="9"/>
        <v/>
      </c>
      <c r="R20" s="23" t="str">
        <f t="shared" ca="1" si="9"/>
        <v/>
      </c>
      <c r="S20" s="23" t="str">
        <f t="shared" ca="1" si="10"/>
        <v/>
      </c>
      <c r="T20" s="23" t="str">
        <f t="shared" ca="1" si="10"/>
        <v/>
      </c>
      <c r="U20" s="23" t="str">
        <f t="shared" ca="1" si="10"/>
        <v/>
      </c>
      <c r="V20" s="23" t="str">
        <f t="shared" ca="1" si="10"/>
        <v/>
      </c>
      <c r="W20" s="23" t="str">
        <f t="shared" ca="1" si="10"/>
        <v/>
      </c>
      <c r="X20" s="23" t="str">
        <f t="shared" ca="1" si="10"/>
        <v/>
      </c>
      <c r="Y20" s="23" t="str">
        <f t="shared" ca="1" si="10"/>
        <v/>
      </c>
      <c r="Z20" s="23" t="str">
        <f t="shared" ca="1" si="10"/>
        <v/>
      </c>
      <c r="AA20" s="23" t="str">
        <f t="shared" ca="1" si="10"/>
        <v/>
      </c>
      <c r="AB20" s="23" t="str">
        <f t="shared" ca="1" si="10"/>
        <v/>
      </c>
      <c r="AC20" s="23" t="str">
        <f t="shared" ca="1" si="11"/>
        <v/>
      </c>
      <c r="AD20" s="23" t="str">
        <f t="shared" ca="1" si="11"/>
        <v/>
      </c>
      <c r="AE20" s="23" t="str">
        <f t="shared" ca="1" si="11"/>
        <v/>
      </c>
      <c r="AF20" s="23" t="str">
        <f t="shared" ca="1" si="11"/>
        <v/>
      </c>
      <c r="AG20" s="23" t="str">
        <f t="shared" ca="1" si="11"/>
        <v/>
      </c>
      <c r="AH20" s="23" t="str">
        <f t="shared" ca="1" si="11"/>
        <v/>
      </c>
      <c r="AI20" s="23" t="str">
        <f t="shared" ca="1" si="11"/>
        <v/>
      </c>
      <c r="AJ20" s="23" t="str">
        <f t="shared" ca="1" si="11"/>
        <v/>
      </c>
      <c r="AK20" s="23" t="str">
        <f t="shared" ca="1" si="11"/>
        <v/>
      </c>
      <c r="AL20" s="23" t="str">
        <f t="shared" ca="1" si="11"/>
        <v/>
      </c>
      <c r="AM20" s="23" t="str">
        <f t="shared" ca="1" si="12"/>
        <v/>
      </c>
      <c r="AN20" s="23" t="str">
        <f t="shared" ca="1" si="12"/>
        <v/>
      </c>
      <c r="AO20" s="23" t="str">
        <f t="shared" ca="1" si="12"/>
        <v/>
      </c>
      <c r="AP20" s="23" t="str">
        <f t="shared" ca="1" si="12"/>
        <v/>
      </c>
      <c r="AQ20" s="23" t="str">
        <f t="shared" ca="1" si="12"/>
        <v/>
      </c>
      <c r="AR20" s="23" t="str">
        <f t="shared" ca="1" si="12"/>
        <v/>
      </c>
      <c r="AS20" s="23" t="str">
        <f t="shared" ca="1" si="12"/>
        <v/>
      </c>
      <c r="AT20" s="23" t="str">
        <f t="shared" ca="1" si="12"/>
        <v/>
      </c>
      <c r="AU20" s="23" t="str">
        <f t="shared" ca="1" si="12"/>
        <v/>
      </c>
      <c r="AV20" s="23" t="str">
        <f t="shared" ca="1" si="12"/>
        <v/>
      </c>
      <c r="AW20" s="23" t="str">
        <f t="shared" ca="1" si="13"/>
        <v/>
      </c>
      <c r="AX20" s="23" t="str">
        <f t="shared" ca="1" si="13"/>
        <v/>
      </c>
      <c r="AY20" s="23" t="str">
        <f t="shared" ca="1" si="13"/>
        <v/>
      </c>
      <c r="AZ20" s="23" t="str">
        <f t="shared" ca="1" si="13"/>
        <v/>
      </c>
      <c r="BA20" s="23" t="str">
        <f t="shared" ca="1" si="13"/>
        <v/>
      </c>
      <c r="BB20" s="23" t="str">
        <f t="shared" ca="1" si="13"/>
        <v/>
      </c>
      <c r="BC20" s="23" t="str">
        <f t="shared" ca="1" si="13"/>
        <v/>
      </c>
      <c r="BD20" s="23" t="str">
        <f t="shared" ca="1" si="13"/>
        <v/>
      </c>
      <c r="BE20" s="23" t="str">
        <f t="shared" ca="1" si="13"/>
        <v/>
      </c>
      <c r="BF20" s="23" t="str">
        <f t="shared" ca="1" si="13"/>
        <v/>
      </c>
      <c r="BG20" s="23" t="str">
        <f t="shared" ca="1" si="14"/>
        <v/>
      </c>
      <c r="BH20" s="23" t="str">
        <f t="shared" ca="1" si="14"/>
        <v/>
      </c>
      <c r="BI20" s="23" t="str">
        <f t="shared" ca="1" si="14"/>
        <v/>
      </c>
      <c r="BJ20" s="23" t="str">
        <f t="shared" ca="1" si="14"/>
        <v/>
      </c>
      <c r="BK20" s="23" t="str">
        <f t="shared" ca="1" si="14"/>
        <v/>
      </c>
      <c r="BL20" s="23" t="str">
        <f t="shared" ca="1" si="14"/>
        <v/>
      </c>
    </row>
    <row r="21" spans="1:64" s="1" customFormat="1" ht="40.15" customHeight="1" x14ac:dyDescent="0.25">
      <c r="A21" s="9"/>
      <c r="B21" s="56" t="s">
        <v>13</v>
      </c>
      <c r="C21" s="52" t="s">
        <v>21</v>
      </c>
      <c r="D21" s="52"/>
      <c r="E21" s="53"/>
      <c r="F21" s="54">
        <f ca="1">F20+2</f>
        <v>46191</v>
      </c>
      <c r="G21" s="55">
        <v>1</v>
      </c>
      <c r="H21" s="52"/>
      <c r="I21" s="23" t="str">
        <f t="shared" ca="1" si="9"/>
        <v/>
      </c>
      <c r="J21" s="23" t="str">
        <f t="shared" ca="1" si="9"/>
        <v/>
      </c>
      <c r="K21" s="23" t="str">
        <f t="shared" ca="1" si="9"/>
        <v/>
      </c>
      <c r="L21" s="23" t="str">
        <f t="shared" ca="1" si="9"/>
        <v/>
      </c>
      <c r="M21" s="23" t="str">
        <f t="shared" ca="1" si="9"/>
        <v/>
      </c>
      <c r="N21" s="23" t="str">
        <f t="shared" ca="1" si="9"/>
        <v/>
      </c>
      <c r="O21" s="23" t="str">
        <f t="shared" ca="1" si="9"/>
        <v/>
      </c>
      <c r="P21" s="23" t="str">
        <f t="shared" ca="1" si="9"/>
        <v/>
      </c>
      <c r="Q21" s="23" t="str">
        <f t="shared" ca="1" si="9"/>
        <v/>
      </c>
      <c r="R21" s="23" t="str">
        <f t="shared" ca="1" si="9"/>
        <v/>
      </c>
      <c r="S21" s="23" t="str">
        <f t="shared" ca="1" si="10"/>
        <v/>
      </c>
      <c r="T21" s="23" t="str">
        <f t="shared" ca="1" si="10"/>
        <v/>
      </c>
      <c r="U21" s="23" t="str">
        <f t="shared" ca="1" si="10"/>
        <v/>
      </c>
      <c r="V21" s="23" t="str">
        <f t="shared" ca="1" si="10"/>
        <v/>
      </c>
      <c r="W21" s="23">
        <f t="shared" ca="1" si="10"/>
        <v>1</v>
      </c>
      <c r="X21" s="23" t="str">
        <f t="shared" ca="1" si="10"/>
        <v/>
      </c>
      <c r="Y21" s="23" t="str">
        <f t="shared" ca="1" si="10"/>
        <v/>
      </c>
      <c r="Z21" s="23" t="str">
        <f t="shared" ca="1" si="10"/>
        <v/>
      </c>
      <c r="AA21" s="23" t="str">
        <f t="shared" ca="1" si="10"/>
        <v/>
      </c>
      <c r="AB21" s="23" t="str">
        <f t="shared" ca="1" si="10"/>
        <v/>
      </c>
      <c r="AC21" s="23" t="str">
        <f t="shared" ca="1" si="11"/>
        <v/>
      </c>
      <c r="AD21" s="23" t="str">
        <f t="shared" ca="1" si="11"/>
        <v/>
      </c>
      <c r="AE21" s="23" t="str">
        <f t="shared" ca="1" si="11"/>
        <v/>
      </c>
      <c r="AF21" s="23" t="str">
        <f t="shared" ca="1" si="11"/>
        <v/>
      </c>
      <c r="AG21" s="23" t="str">
        <f t="shared" ca="1" si="11"/>
        <v/>
      </c>
      <c r="AH21" s="23" t="str">
        <f t="shared" ca="1" si="11"/>
        <v/>
      </c>
      <c r="AI21" s="23" t="str">
        <f t="shared" ca="1" si="11"/>
        <v/>
      </c>
      <c r="AJ21" s="23" t="str">
        <f t="shared" ca="1" si="11"/>
        <v/>
      </c>
      <c r="AK21" s="23" t="str">
        <f t="shared" ca="1" si="11"/>
        <v/>
      </c>
      <c r="AL21" s="23" t="str">
        <f t="shared" ca="1" si="11"/>
        <v/>
      </c>
      <c r="AM21" s="23" t="str">
        <f t="shared" ca="1" si="12"/>
        <v/>
      </c>
      <c r="AN21" s="23" t="str">
        <f t="shared" ca="1" si="12"/>
        <v/>
      </c>
      <c r="AO21" s="23" t="str">
        <f t="shared" ca="1" si="12"/>
        <v/>
      </c>
      <c r="AP21" s="23" t="str">
        <f t="shared" ca="1" si="12"/>
        <v/>
      </c>
      <c r="AQ21" s="23" t="str">
        <f t="shared" ca="1" si="12"/>
        <v/>
      </c>
      <c r="AR21" s="23" t="str">
        <f t="shared" ca="1" si="12"/>
        <v/>
      </c>
      <c r="AS21" s="23" t="str">
        <f t="shared" ca="1" si="12"/>
        <v/>
      </c>
      <c r="AT21" s="23" t="str">
        <f t="shared" ca="1" si="12"/>
        <v/>
      </c>
      <c r="AU21" s="23" t="str">
        <f t="shared" ca="1" si="12"/>
        <v/>
      </c>
      <c r="AV21" s="23" t="str">
        <f t="shared" ca="1" si="12"/>
        <v/>
      </c>
      <c r="AW21" s="23" t="str">
        <f t="shared" ca="1" si="13"/>
        <v/>
      </c>
      <c r="AX21" s="23" t="str">
        <f t="shared" ca="1" si="13"/>
        <v/>
      </c>
      <c r="AY21" s="23" t="str">
        <f t="shared" ca="1" si="13"/>
        <v/>
      </c>
      <c r="AZ21" s="23" t="str">
        <f t="shared" ca="1" si="13"/>
        <v/>
      </c>
      <c r="BA21" s="23" t="str">
        <f t="shared" ca="1" si="13"/>
        <v/>
      </c>
      <c r="BB21" s="23" t="str">
        <f t="shared" ca="1" si="13"/>
        <v/>
      </c>
      <c r="BC21" s="23" t="str">
        <f t="shared" ca="1" si="13"/>
        <v/>
      </c>
      <c r="BD21" s="23" t="str">
        <f t="shared" ca="1" si="13"/>
        <v/>
      </c>
      <c r="BE21" s="23" t="str">
        <f t="shared" ca="1" si="13"/>
        <v/>
      </c>
      <c r="BF21" s="23" t="str">
        <f t="shared" ca="1" si="13"/>
        <v/>
      </c>
      <c r="BG21" s="23" t="str">
        <f t="shared" ca="1" si="14"/>
        <v/>
      </c>
      <c r="BH21" s="23" t="str">
        <f t="shared" ca="1" si="14"/>
        <v/>
      </c>
      <c r="BI21" s="23" t="str">
        <f t="shared" ca="1" si="14"/>
        <v/>
      </c>
      <c r="BJ21" s="23" t="str">
        <f t="shared" ca="1" si="14"/>
        <v/>
      </c>
      <c r="BK21" s="23" t="str">
        <f t="shared" ca="1" si="14"/>
        <v/>
      </c>
      <c r="BL21" s="23" t="str">
        <f t="shared" ca="1" si="14"/>
        <v/>
      </c>
    </row>
    <row r="22" spans="1:64" s="1" customFormat="1" ht="40.15" customHeight="1" x14ac:dyDescent="0.25">
      <c r="A22" s="9"/>
      <c r="B22" s="56" t="s">
        <v>14</v>
      </c>
      <c r="C22" s="52"/>
      <c r="D22" s="52"/>
      <c r="E22" s="53"/>
      <c r="F22" s="54">
        <f ca="1">F21+1</f>
        <v>46192</v>
      </c>
      <c r="G22" s="55">
        <v>24</v>
      </c>
      <c r="H22" s="52"/>
      <c r="I22" s="23" t="str">
        <f t="shared" ca="1" si="9"/>
        <v/>
      </c>
      <c r="J22" s="23" t="str">
        <f t="shared" ca="1" si="9"/>
        <v/>
      </c>
      <c r="K22" s="23" t="str">
        <f t="shared" ca="1" si="9"/>
        <v/>
      </c>
      <c r="L22" s="23" t="str">
        <f t="shared" ca="1" si="9"/>
        <v/>
      </c>
      <c r="M22" s="23" t="str">
        <f t="shared" ca="1" si="9"/>
        <v/>
      </c>
      <c r="N22" s="23" t="str">
        <f t="shared" ca="1" si="9"/>
        <v/>
      </c>
      <c r="O22" s="23" t="str">
        <f t="shared" ca="1" si="9"/>
        <v/>
      </c>
      <c r="P22" s="23" t="str">
        <f t="shared" ca="1" si="9"/>
        <v/>
      </c>
      <c r="Q22" s="23" t="str">
        <f t="shared" ca="1" si="9"/>
        <v/>
      </c>
      <c r="R22" s="23" t="str">
        <f t="shared" ca="1" si="9"/>
        <v/>
      </c>
      <c r="S22" s="23" t="str">
        <f t="shared" ca="1" si="10"/>
        <v/>
      </c>
      <c r="T22" s="23" t="str">
        <f t="shared" ca="1" si="10"/>
        <v/>
      </c>
      <c r="U22" s="23" t="str">
        <f t="shared" ca="1" si="10"/>
        <v/>
      </c>
      <c r="V22" s="23" t="str">
        <f t="shared" ca="1" si="10"/>
        <v/>
      </c>
      <c r="W22" s="23" t="str">
        <f t="shared" ca="1" si="10"/>
        <v/>
      </c>
      <c r="X22" s="23" t="str">
        <f t="shared" ca="1" si="10"/>
        <v/>
      </c>
      <c r="Y22" s="23" t="str">
        <f t="shared" ca="1" si="10"/>
        <v/>
      </c>
      <c r="Z22" s="23" t="str">
        <f t="shared" ca="1" si="10"/>
        <v/>
      </c>
      <c r="AA22" s="23" t="str">
        <f t="shared" ca="1" si="10"/>
        <v/>
      </c>
      <c r="AB22" s="23" t="str">
        <f t="shared" ca="1" si="10"/>
        <v/>
      </c>
      <c r="AC22" s="23" t="str">
        <f t="shared" ca="1" si="11"/>
        <v/>
      </c>
      <c r="AD22" s="23" t="str">
        <f t="shared" ca="1" si="11"/>
        <v/>
      </c>
      <c r="AE22" s="23" t="str">
        <f t="shared" ca="1" si="11"/>
        <v/>
      </c>
      <c r="AF22" s="23" t="str">
        <f t="shared" ca="1" si="11"/>
        <v/>
      </c>
      <c r="AG22" s="23" t="str">
        <f t="shared" ca="1" si="11"/>
        <v/>
      </c>
      <c r="AH22" s="23" t="str">
        <f t="shared" ca="1" si="11"/>
        <v/>
      </c>
      <c r="AI22" s="23" t="str">
        <f t="shared" ca="1" si="11"/>
        <v/>
      </c>
      <c r="AJ22" s="23" t="str">
        <f t="shared" ca="1" si="11"/>
        <v/>
      </c>
      <c r="AK22" s="23" t="str">
        <f t="shared" ca="1" si="11"/>
        <v/>
      </c>
      <c r="AL22" s="23" t="str">
        <f t="shared" ca="1" si="11"/>
        <v/>
      </c>
      <c r="AM22" s="23" t="str">
        <f t="shared" ca="1" si="12"/>
        <v/>
      </c>
      <c r="AN22" s="23" t="str">
        <f t="shared" ca="1" si="12"/>
        <v/>
      </c>
      <c r="AO22" s="23" t="str">
        <f t="shared" ca="1" si="12"/>
        <v/>
      </c>
      <c r="AP22" s="23" t="str">
        <f t="shared" ca="1" si="12"/>
        <v/>
      </c>
      <c r="AQ22" s="23" t="str">
        <f t="shared" ca="1" si="12"/>
        <v/>
      </c>
      <c r="AR22" s="23" t="str">
        <f t="shared" ca="1" si="12"/>
        <v/>
      </c>
      <c r="AS22" s="23" t="str">
        <f t="shared" ca="1" si="12"/>
        <v/>
      </c>
      <c r="AT22" s="23" t="str">
        <f t="shared" ca="1" si="12"/>
        <v/>
      </c>
      <c r="AU22" s="23" t="str">
        <f t="shared" ca="1" si="12"/>
        <v/>
      </c>
      <c r="AV22" s="23" t="str">
        <f t="shared" ca="1" si="12"/>
        <v/>
      </c>
      <c r="AW22" s="23" t="str">
        <f t="shared" ca="1" si="13"/>
        <v/>
      </c>
      <c r="AX22" s="23" t="str">
        <f t="shared" ca="1" si="13"/>
        <v/>
      </c>
      <c r="AY22" s="23" t="str">
        <f t="shared" ca="1" si="13"/>
        <v/>
      </c>
      <c r="AZ22" s="23" t="str">
        <f t="shared" ca="1" si="13"/>
        <v/>
      </c>
      <c r="BA22" s="23" t="str">
        <f t="shared" ca="1" si="13"/>
        <v/>
      </c>
      <c r="BB22" s="23" t="str">
        <f t="shared" ca="1" si="13"/>
        <v/>
      </c>
      <c r="BC22" s="23" t="str">
        <f t="shared" ca="1" si="13"/>
        <v/>
      </c>
      <c r="BD22" s="23" t="str">
        <f t="shared" ca="1" si="13"/>
        <v/>
      </c>
      <c r="BE22" s="23" t="str">
        <f t="shared" ca="1" si="13"/>
        <v/>
      </c>
      <c r="BF22" s="23" t="str">
        <f t="shared" ca="1" si="13"/>
        <v/>
      </c>
      <c r="BG22" s="23" t="str">
        <f t="shared" ca="1" si="14"/>
        <v/>
      </c>
      <c r="BH22" s="23" t="str">
        <f t="shared" ca="1" si="14"/>
        <v/>
      </c>
      <c r="BI22" s="23" t="str">
        <f t="shared" ca="1" si="14"/>
        <v/>
      </c>
      <c r="BJ22" s="23" t="str">
        <f t="shared" ca="1" si="14"/>
        <v/>
      </c>
      <c r="BK22" s="23" t="str">
        <f t="shared" ca="1" si="14"/>
        <v/>
      </c>
      <c r="BL22" s="23" t="str">
        <f t="shared" ca="1" si="14"/>
        <v/>
      </c>
    </row>
    <row r="23" spans="1:64" s="1" customFormat="1" ht="40.15" customHeight="1" x14ac:dyDescent="0.25">
      <c r="A23" s="9"/>
      <c r="B23" s="98" t="s">
        <v>16</v>
      </c>
      <c r="C23" s="52"/>
      <c r="D23" s="52"/>
      <c r="E23" s="53"/>
      <c r="F23" s="54"/>
      <c r="G23" s="55"/>
      <c r="H23" s="52"/>
      <c r="I23" s="23" t="str">
        <f t="shared" ca="1" si="9"/>
        <v/>
      </c>
      <c r="J23" s="23" t="str">
        <f t="shared" ca="1" si="9"/>
        <v/>
      </c>
      <c r="K23" s="23" t="str">
        <f t="shared" ca="1" si="9"/>
        <v/>
      </c>
      <c r="L23" s="23" t="str">
        <f t="shared" ca="1" si="9"/>
        <v/>
      </c>
      <c r="M23" s="23" t="str">
        <f t="shared" ca="1" si="9"/>
        <v/>
      </c>
      <c r="N23" s="23" t="str">
        <f t="shared" ca="1" si="9"/>
        <v/>
      </c>
      <c r="O23" s="23" t="str">
        <f t="shared" ca="1" si="9"/>
        <v/>
      </c>
      <c r="P23" s="23" t="str">
        <f t="shared" ca="1" si="9"/>
        <v/>
      </c>
      <c r="Q23" s="23" t="str">
        <f t="shared" ca="1" si="9"/>
        <v/>
      </c>
      <c r="R23" s="23" t="str">
        <f t="shared" ca="1" si="9"/>
        <v/>
      </c>
      <c r="S23" s="23" t="str">
        <f t="shared" ca="1" si="10"/>
        <v/>
      </c>
      <c r="T23" s="23" t="str">
        <f t="shared" ca="1" si="10"/>
        <v/>
      </c>
      <c r="U23" s="23" t="str">
        <f t="shared" ca="1" si="10"/>
        <v/>
      </c>
      <c r="V23" s="23" t="str">
        <f t="shared" ca="1" si="10"/>
        <v/>
      </c>
      <c r="W23" s="23" t="str">
        <f t="shared" ca="1" si="10"/>
        <v/>
      </c>
      <c r="X23" s="23" t="str">
        <f t="shared" ca="1" si="10"/>
        <v/>
      </c>
      <c r="Y23" s="23" t="str">
        <f t="shared" ca="1" si="10"/>
        <v/>
      </c>
      <c r="Z23" s="23" t="str">
        <f t="shared" ca="1" si="10"/>
        <v/>
      </c>
      <c r="AA23" s="23" t="str">
        <f t="shared" ca="1" si="10"/>
        <v/>
      </c>
      <c r="AB23" s="23" t="str">
        <f t="shared" ca="1" si="10"/>
        <v/>
      </c>
      <c r="AC23" s="23" t="str">
        <f t="shared" ca="1" si="11"/>
        <v/>
      </c>
      <c r="AD23" s="23" t="str">
        <f t="shared" ca="1" si="11"/>
        <v/>
      </c>
      <c r="AE23" s="23" t="str">
        <f t="shared" ca="1" si="11"/>
        <v/>
      </c>
      <c r="AF23" s="23" t="str">
        <f t="shared" ca="1" si="11"/>
        <v/>
      </c>
      <c r="AG23" s="23" t="str">
        <f t="shared" ca="1" si="11"/>
        <v/>
      </c>
      <c r="AH23" s="23" t="str">
        <f t="shared" ca="1" si="11"/>
        <v/>
      </c>
      <c r="AI23" s="23" t="str">
        <f t="shared" ca="1" si="11"/>
        <v/>
      </c>
      <c r="AJ23" s="23" t="str">
        <f t="shared" ca="1" si="11"/>
        <v/>
      </c>
      <c r="AK23" s="23" t="str">
        <f t="shared" ca="1" si="11"/>
        <v/>
      </c>
      <c r="AL23" s="23" t="str">
        <f t="shared" ca="1" si="11"/>
        <v/>
      </c>
      <c r="AM23" s="23" t="str">
        <f t="shared" ca="1" si="12"/>
        <v/>
      </c>
      <c r="AN23" s="23" t="str">
        <f t="shared" ca="1" si="12"/>
        <v/>
      </c>
      <c r="AO23" s="23" t="str">
        <f t="shared" ca="1" si="12"/>
        <v/>
      </c>
      <c r="AP23" s="23" t="str">
        <f t="shared" ca="1" si="12"/>
        <v/>
      </c>
      <c r="AQ23" s="23" t="str">
        <f t="shared" ca="1" si="12"/>
        <v/>
      </c>
      <c r="AR23" s="23" t="str">
        <f t="shared" ca="1" si="12"/>
        <v/>
      </c>
      <c r="AS23" s="23" t="str">
        <f t="shared" ca="1" si="12"/>
        <v/>
      </c>
      <c r="AT23" s="23" t="str">
        <f t="shared" ca="1" si="12"/>
        <v/>
      </c>
      <c r="AU23" s="23" t="str">
        <f t="shared" ca="1" si="12"/>
        <v/>
      </c>
      <c r="AV23" s="23" t="str">
        <f t="shared" ca="1" si="12"/>
        <v/>
      </c>
      <c r="AW23" s="23" t="str">
        <f t="shared" ca="1" si="13"/>
        <v/>
      </c>
      <c r="AX23" s="23" t="str">
        <f t="shared" ca="1" si="13"/>
        <v/>
      </c>
      <c r="AY23" s="23" t="str">
        <f t="shared" ca="1" si="13"/>
        <v/>
      </c>
      <c r="AZ23" s="23" t="str">
        <f t="shared" ca="1" si="13"/>
        <v/>
      </c>
      <c r="BA23" s="23" t="str">
        <f t="shared" ca="1" si="13"/>
        <v/>
      </c>
      <c r="BB23" s="23" t="str">
        <f t="shared" ca="1" si="13"/>
        <v/>
      </c>
      <c r="BC23" s="23" t="str">
        <f t="shared" ca="1" si="13"/>
        <v/>
      </c>
      <c r="BD23" s="23" t="str">
        <f t="shared" ca="1" si="13"/>
        <v/>
      </c>
      <c r="BE23" s="23" t="str">
        <f t="shared" ca="1" si="13"/>
        <v/>
      </c>
      <c r="BF23" s="23" t="str">
        <f t="shared" ca="1" si="13"/>
        <v/>
      </c>
      <c r="BG23" s="23" t="str">
        <f t="shared" ca="1" si="14"/>
        <v/>
      </c>
      <c r="BH23" s="23" t="str">
        <f t="shared" ca="1" si="14"/>
        <v/>
      </c>
      <c r="BI23" s="23" t="str">
        <f t="shared" ca="1" si="14"/>
        <v/>
      </c>
      <c r="BJ23" s="23" t="str">
        <f t="shared" ca="1" si="14"/>
        <v/>
      </c>
      <c r="BK23" s="23" t="str">
        <f t="shared" ca="1" si="14"/>
        <v/>
      </c>
      <c r="BL23" s="23" t="str">
        <f t="shared" ca="1" si="14"/>
        <v/>
      </c>
    </row>
    <row r="24" spans="1:64" s="1" customFormat="1" ht="40.15" customHeight="1" x14ac:dyDescent="0.25">
      <c r="A24" s="9"/>
      <c r="B24" s="56" t="s">
        <v>10</v>
      </c>
      <c r="C24" s="52" t="s">
        <v>25</v>
      </c>
      <c r="D24" s="52"/>
      <c r="E24" s="53"/>
      <c r="F24" s="54">
        <f ca="1">F12+15</f>
        <v>46191</v>
      </c>
      <c r="G24" s="55">
        <v>4</v>
      </c>
      <c r="H24" s="52"/>
      <c r="I24" s="23" t="str">
        <f t="shared" ca="1" si="9"/>
        <v/>
      </c>
      <c r="J24" s="23" t="str">
        <f t="shared" ca="1" si="9"/>
        <v/>
      </c>
      <c r="K24" s="23" t="str">
        <f t="shared" ca="1" si="9"/>
        <v/>
      </c>
      <c r="L24" s="23" t="str">
        <f t="shared" ca="1" si="9"/>
        <v/>
      </c>
      <c r="M24" s="23" t="str">
        <f t="shared" ca="1" si="9"/>
        <v/>
      </c>
      <c r="N24" s="23" t="str">
        <f t="shared" ca="1" si="9"/>
        <v/>
      </c>
      <c r="O24" s="23" t="str">
        <f t="shared" ca="1" si="9"/>
        <v/>
      </c>
      <c r="P24" s="23" t="str">
        <f t="shared" ca="1" si="9"/>
        <v/>
      </c>
      <c r="Q24" s="23" t="str">
        <f t="shared" ca="1" si="9"/>
        <v/>
      </c>
      <c r="R24" s="23" t="str">
        <f t="shared" ca="1" si="9"/>
        <v/>
      </c>
      <c r="S24" s="23" t="str">
        <f t="shared" ca="1" si="10"/>
        <v/>
      </c>
      <c r="T24" s="23" t="str">
        <f t="shared" ca="1" si="10"/>
        <v/>
      </c>
      <c r="U24" s="23" t="str">
        <f t="shared" ca="1" si="10"/>
        <v/>
      </c>
      <c r="V24" s="23" t="str">
        <f t="shared" ca="1" si="10"/>
        <v/>
      </c>
      <c r="W24" s="23" t="str">
        <f t="shared" ca="1" si="10"/>
        <v/>
      </c>
      <c r="X24" s="23" t="str">
        <f t="shared" ca="1" si="10"/>
        <v/>
      </c>
      <c r="Y24" s="23" t="str">
        <f t="shared" ca="1" si="10"/>
        <v/>
      </c>
      <c r="Z24" s="23" t="str">
        <f t="shared" ca="1" si="10"/>
        <v/>
      </c>
      <c r="AA24" s="23" t="str">
        <f t="shared" ca="1" si="10"/>
        <v/>
      </c>
      <c r="AB24" s="23" t="str">
        <f t="shared" ca="1" si="10"/>
        <v/>
      </c>
      <c r="AC24" s="23" t="str">
        <f t="shared" ca="1" si="11"/>
        <v/>
      </c>
      <c r="AD24" s="23" t="str">
        <f t="shared" ca="1" si="11"/>
        <v/>
      </c>
      <c r="AE24" s="23" t="str">
        <f t="shared" ca="1" si="11"/>
        <v/>
      </c>
      <c r="AF24" s="23" t="str">
        <f t="shared" ca="1" si="11"/>
        <v/>
      </c>
      <c r="AG24" s="23" t="str">
        <f t="shared" ca="1" si="11"/>
        <v/>
      </c>
      <c r="AH24" s="23" t="str">
        <f t="shared" ca="1" si="11"/>
        <v/>
      </c>
      <c r="AI24" s="23" t="str">
        <f t="shared" ca="1" si="11"/>
        <v/>
      </c>
      <c r="AJ24" s="23" t="str">
        <f t="shared" ca="1" si="11"/>
        <v/>
      </c>
      <c r="AK24" s="23" t="str">
        <f t="shared" ca="1" si="11"/>
        <v/>
      </c>
      <c r="AL24" s="23" t="str">
        <f t="shared" ca="1" si="11"/>
        <v/>
      </c>
      <c r="AM24" s="23" t="str">
        <f t="shared" ca="1" si="12"/>
        <v/>
      </c>
      <c r="AN24" s="23" t="str">
        <f t="shared" ca="1" si="12"/>
        <v/>
      </c>
      <c r="AO24" s="23" t="str">
        <f t="shared" ca="1" si="12"/>
        <v/>
      </c>
      <c r="AP24" s="23" t="str">
        <f t="shared" ca="1" si="12"/>
        <v/>
      </c>
      <c r="AQ24" s="23" t="str">
        <f t="shared" ca="1" si="12"/>
        <v/>
      </c>
      <c r="AR24" s="23" t="str">
        <f t="shared" ca="1" si="12"/>
        <v/>
      </c>
      <c r="AS24" s="23" t="str">
        <f t="shared" ca="1" si="12"/>
        <v/>
      </c>
      <c r="AT24" s="23" t="str">
        <f t="shared" ca="1" si="12"/>
        <v/>
      </c>
      <c r="AU24" s="23" t="str">
        <f t="shared" ca="1" si="12"/>
        <v/>
      </c>
      <c r="AV24" s="23" t="str">
        <f t="shared" ca="1" si="12"/>
        <v/>
      </c>
      <c r="AW24" s="23" t="str">
        <f t="shared" ca="1" si="13"/>
        <v/>
      </c>
      <c r="AX24" s="23" t="str">
        <f t="shared" ca="1" si="13"/>
        <v/>
      </c>
      <c r="AY24" s="23" t="str">
        <f t="shared" ca="1" si="13"/>
        <v/>
      </c>
      <c r="AZ24" s="23" t="str">
        <f t="shared" ca="1" si="13"/>
        <v/>
      </c>
      <c r="BA24" s="23" t="str">
        <f t="shared" ca="1" si="13"/>
        <v/>
      </c>
      <c r="BB24" s="23" t="str">
        <f t="shared" ca="1" si="13"/>
        <v/>
      </c>
      <c r="BC24" s="23" t="str">
        <f t="shared" ca="1" si="13"/>
        <v/>
      </c>
      <c r="BD24" s="23" t="str">
        <f t="shared" ca="1" si="13"/>
        <v/>
      </c>
      <c r="BE24" s="23" t="str">
        <f t="shared" ca="1" si="13"/>
        <v/>
      </c>
      <c r="BF24" s="23" t="str">
        <f t="shared" ca="1" si="13"/>
        <v/>
      </c>
      <c r="BG24" s="23" t="str">
        <f t="shared" ca="1" si="14"/>
        <v/>
      </c>
      <c r="BH24" s="23" t="str">
        <f t="shared" ca="1" si="14"/>
        <v/>
      </c>
      <c r="BI24" s="23" t="str">
        <f t="shared" ca="1" si="14"/>
        <v/>
      </c>
      <c r="BJ24" s="23" t="str">
        <f t="shared" ca="1" si="14"/>
        <v/>
      </c>
      <c r="BK24" s="23" t="str">
        <f t="shared" ca="1" si="14"/>
        <v/>
      </c>
      <c r="BL24" s="23" t="str">
        <f t="shared" ca="1" si="14"/>
        <v/>
      </c>
    </row>
    <row r="25" spans="1:64" s="1" customFormat="1" ht="40.15" customHeight="1" x14ac:dyDescent="0.25">
      <c r="A25" s="9"/>
      <c r="B25" s="56" t="s">
        <v>11</v>
      </c>
      <c r="C25" s="52" t="s">
        <v>23</v>
      </c>
      <c r="D25" s="52"/>
      <c r="E25" s="53"/>
      <c r="F25" s="54">
        <f ca="1">F24+3</f>
        <v>46194</v>
      </c>
      <c r="G25" s="55">
        <v>14</v>
      </c>
      <c r="H25" s="52"/>
      <c r="I25" s="23" t="str">
        <f t="shared" ref="I25:R35" ca="1" si="15">IF(AND($C25="Objetivo",I$7&gt;=$F25,I$7&lt;=$F25+$G25-1),2,IF(AND($C25="Marco",I$7&gt;=$F25,I$7&lt;=$F25+$G25-1),1,""))</f>
        <v/>
      </c>
      <c r="J25" s="23" t="str">
        <f t="shared" ca="1" si="15"/>
        <v/>
      </c>
      <c r="K25" s="23" t="str">
        <f t="shared" ca="1" si="15"/>
        <v/>
      </c>
      <c r="L25" s="23" t="str">
        <f t="shared" ca="1" si="15"/>
        <v/>
      </c>
      <c r="M25" s="23" t="str">
        <f t="shared" ca="1" si="15"/>
        <v/>
      </c>
      <c r="N25" s="23" t="str">
        <f t="shared" ca="1" si="15"/>
        <v/>
      </c>
      <c r="O25" s="23" t="str">
        <f t="shared" ca="1" si="15"/>
        <v/>
      </c>
      <c r="P25" s="23" t="str">
        <f t="shared" ca="1" si="15"/>
        <v/>
      </c>
      <c r="Q25" s="23" t="str">
        <f t="shared" ca="1" si="15"/>
        <v/>
      </c>
      <c r="R25" s="23" t="str">
        <f t="shared" ca="1" si="15"/>
        <v/>
      </c>
      <c r="S25" s="23" t="str">
        <f t="shared" ref="S25:AB35" ca="1" si="16">IF(AND($C25="Objetivo",S$7&gt;=$F25,S$7&lt;=$F25+$G25-1),2,IF(AND($C25="Marco",S$7&gt;=$F25,S$7&lt;=$F25+$G25-1),1,""))</f>
        <v/>
      </c>
      <c r="T25" s="23" t="str">
        <f t="shared" ca="1" si="16"/>
        <v/>
      </c>
      <c r="U25" s="23" t="str">
        <f t="shared" ca="1" si="16"/>
        <v/>
      </c>
      <c r="V25" s="23" t="str">
        <f t="shared" ca="1" si="16"/>
        <v/>
      </c>
      <c r="W25" s="23" t="str">
        <f t="shared" ca="1" si="16"/>
        <v/>
      </c>
      <c r="X25" s="23" t="str">
        <f t="shared" ca="1" si="16"/>
        <v/>
      </c>
      <c r="Y25" s="23" t="str">
        <f t="shared" ca="1" si="16"/>
        <v/>
      </c>
      <c r="Z25" s="23" t="str">
        <f t="shared" ca="1" si="16"/>
        <v/>
      </c>
      <c r="AA25" s="23" t="str">
        <f t="shared" ca="1" si="16"/>
        <v/>
      </c>
      <c r="AB25" s="23" t="str">
        <f t="shared" ca="1" si="16"/>
        <v/>
      </c>
      <c r="AC25" s="23" t="str">
        <f t="shared" ref="AC25:AL35" ca="1" si="17">IF(AND($C25="Objetivo",AC$7&gt;=$F25,AC$7&lt;=$F25+$G25-1),2,IF(AND($C25="Marco",AC$7&gt;=$F25,AC$7&lt;=$F25+$G25-1),1,""))</f>
        <v/>
      </c>
      <c r="AD25" s="23" t="str">
        <f t="shared" ca="1" si="17"/>
        <v/>
      </c>
      <c r="AE25" s="23" t="str">
        <f t="shared" ca="1" si="17"/>
        <v/>
      </c>
      <c r="AF25" s="23" t="str">
        <f t="shared" ca="1" si="17"/>
        <v/>
      </c>
      <c r="AG25" s="23" t="str">
        <f t="shared" ca="1" si="17"/>
        <v/>
      </c>
      <c r="AH25" s="23" t="str">
        <f t="shared" ca="1" si="17"/>
        <v/>
      </c>
      <c r="AI25" s="23" t="str">
        <f t="shared" ca="1" si="17"/>
        <v/>
      </c>
      <c r="AJ25" s="23" t="str">
        <f t="shared" ca="1" si="17"/>
        <v/>
      </c>
      <c r="AK25" s="23" t="str">
        <f t="shared" ca="1" si="17"/>
        <v/>
      </c>
      <c r="AL25" s="23" t="str">
        <f t="shared" ca="1" si="17"/>
        <v/>
      </c>
      <c r="AM25" s="23" t="str">
        <f t="shared" ref="AM25:AV35" ca="1" si="18">IF(AND($C25="Objetivo",AM$7&gt;=$F25,AM$7&lt;=$F25+$G25-1),2,IF(AND($C25="Marco",AM$7&gt;=$F25,AM$7&lt;=$F25+$G25-1),1,""))</f>
        <v/>
      </c>
      <c r="AN25" s="23" t="str">
        <f t="shared" ca="1" si="18"/>
        <v/>
      </c>
      <c r="AO25" s="23" t="str">
        <f t="shared" ca="1" si="18"/>
        <v/>
      </c>
      <c r="AP25" s="23" t="str">
        <f t="shared" ca="1" si="18"/>
        <v/>
      </c>
      <c r="AQ25" s="23" t="str">
        <f t="shared" ca="1" si="18"/>
        <v/>
      </c>
      <c r="AR25" s="23" t="str">
        <f t="shared" ca="1" si="18"/>
        <v/>
      </c>
      <c r="AS25" s="23" t="str">
        <f t="shared" ca="1" si="18"/>
        <v/>
      </c>
      <c r="AT25" s="23" t="str">
        <f t="shared" ca="1" si="18"/>
        <v/>
      </c>
      <c r="AU25" s="23" t="str">
        <f t="shared" ca="1" si="18"/>
        <v/>
      </c>
      <c r="AV25" s="23" t="str">
        <f t="shared" ca="1" si="18"/>
        <v/>
      </c>
      <c r="AW25" s="23" t="str">
        <f t="shared" ref="AW25:BF35" ca="1" si="19">IF(AND($C25="Objetivo",AW$7&gt;=$F25,AW$7&lt;=$F25+$G25-1),2,IF(AND($C25="Marco",AW$7&gt;=$F25,AW$7&lt;=$F25+$G25-1),1,""))</f>
        <v/>
      </c>
      <c r="AX25" s="23" t="str">
        <f t="shared" ca="1" si="19"/>
        <v/>
      </c>
      <c r="AY25" s="23" t="str">
        <f t="shared" ca="1" si="19"/>
        <v/>
      </c>
      <c r="AZ25" s="23" t="str">
        <f t="shared" ca="1" si="19"/>
        <v/>
      </c>
      <c r="BA25" s="23" t="str">
        <f t="shared" ca="1" si="19"/>
        <v/>
      </c>
      <c r="BB25" s="23" t="str">
        <f t="shared" ca="1" si="19"/>
        <v/>
      </c>
      <c r="BC25" s="23" t="str">
        <f t="shared" ca="1" si="19"/>
        <v/>
      </c>
      <c r="BD25" s="23" t="str">
        <f t="shared" ca="1" si="19"/>
        <v/>
      </c>
      <c r="BE25" s="23" t="str">
        <f t="shared" ca="1" si="19"/>
        <v/>
      </c>
      <c r="BF25" s="23" t="str">
        <f t="shared" ca="1" si="19"/>
        <v/>
      </c>
      <c r="BG25" s="23" t="str">
        <f t="shared" ref="BG25:BL35" ca="1" si="20">IF(AND($C25="Objetivo",BG$7&gt;=$F25,BG$7&lt;=$F25+$G25-1),2,IF(AND($C25="Marco",BG$7&gt;=$F25,BG$7&lt;=$F25+$G25-1),1,""))</f>
        <v/>
      </c>
      <c r="BH25" s="23" t="str">
        <f t="shared" ca="1" si="20"/>
        <v/>
      </c>
      <c r="BI25" s="23" t="str">
        <f t="shared" ca="1" si="20"/>
        <v/>
      </c>
      <c r="BJ25" s="23" t="str">
        <f t="shared" ca="1" si="20"/>
        <v/>
      </c>
      <c r="BK25" s="23" t="str">
        <f t="shared" ca="1" si="20"/>
        <v/>
      </c>
      <c r="BL25" s="23" t="str">
        <f t="shared" ca="1" si="20"/>
        <v/>
      </c>
    </row>
    <row r="26" spans="1:64" s="1" customFormat="1" ht="40.15" customHeight="1" x14ac:dyDescent="0.25">
      <c r="A26" s="9"/>
      <c r="B26" s="56" t="s">
        <v>12</v>
      </c>
      <c r="C26" s="52" t="s">
        <v>25</v>
      </c>
      <c r="D26" s="52"/>
      <c r="E26" s="53"/>
      <c r="F26" s="54">
        <f ca="1">F25+15</f>
        <v>46209</v>
      </c>
      <c r="G26" s="55">
        <v>6</v>
      </c>
      <c r="H26" s="52"/>
      <c r="I26" s="23" t="str">
        <f t="shared" ca="1" si="15"/>
        <v/>
      </c>
      <c r="J26" s="23" t="str">
        <f t="shared" ca="1" si="15"/>
        <v/>
      </c>
      <c r="K26" s="23" t="str">
        <f t="shared" ca="1" si="15"/>
        <v/>
      </c>
      <c r="L26" s="23" t="str">
        <f t="shared" ca="1" si="15"/>
        <v/>
      </c>
      <c r="M26" s="23" t="str">
        <f t="shared" ca="1" si="15"/>
        <v/>
      </c>
      <c r="N26" s="23" t="str">
        <f t="shared" ca="1" si="15"/>
        <v/>
      </c>
      <c r="O26" s="23" t="str">
        <f t="shared" ca="1" si="15"/>
        <v/>
      </c>
      <c r="P26" s="23" t="str">
        <f t="shared" ca="1" si="15"/>
        <v/>
      </c>
      <c r="Q26" s="23" t="str">
        <f t="shared" ca="1" si="15"/>
        <v/>
      </c>
      <c r="R26" s="23" t="str">
        <f t="shared" ca="1" si="15"/>
        <v/>
      </c>
      <c r="S26" s="23" t="str">
        <f t="shared" ca="1" si="16"/>
        <v/>
      </c>
      <c r="T26" s="23" t="str">
        <f t="shared" ca="1" si="16"/>
        <v/>
      </c>
      <c r="U26" s="23" t="str">
        <f t="shared" ca="1" si="16"/>
        <v/>
      </c>
      <c r="V26" s="23" t="str">
        <f t="shared" ca="1" si="16"/>
        <v/>
      </c>
      <c r="W26" s="23" t="str">
        <f t="shared" ca="1" si="16"/>
        <v/>
      </c>
      <c r="X26" s="23" t="str">
        <f t="shared" ca="1" si="16"/>
        <v/>
      </c>
      <c r="Y26" s="23" t="str">
        <f t="shared" ca="1" si="16"/>
        <v/>
      </c>
      <c r="Z26" s="23" t="str">
        <f t="shared" ca="1" si="16"/>
        <v/>
      </c>
      <c r="AA26" s="23" t="str">
        <f t="shared" ca="1" si="16"/>
        <v/>
      </c>
      <c r="AB26" s="23" t="str">
        <f t="shared" ca="1" si="16"/>
        <v/>
      </c>
      <c r="AC26" s="23" t="str">
        <f t="shared" ca="1" si="17"/>
        <v/>
      </c>
      <c r="AD26" s="23" t="str">
        <f t="shared" ca="1" si="17"/>
        <v/>
      </c>
      <c r="AE26" s="23" t="str">
        <f t="shared" ca="1" si="17"/>
        <v/>
      </c>
      <c r="AF26" s="23" t="str">
        <f t="shared" ca="1" si="17"/>
        <v/>
      </c>
      <c r="AG26" s="23" t="str">
        <f t="shared" ca="1" si="17"/>
        <v/>
      </c>
      <c r="AH26" s="23" t="str">
        <f t="shared" ca="1" si="17"/>
        <v/>
      </c>
      <c r="AI26" s="23" t="str">
        <f t="shared" ca="1" si="17"/>
        <v/>
      </c>
      <c r="AJ26" s="23" t="str">
        <f t="shared" ca="1" si="17"/>
        <v/>
      </c>
      <c r="AK26" s="23" t="str">
        <f t="shared" ca="1" si="17"/>
        <v/>
      </c>
      <c r="AL26" s="23" t="str">
        <f t="shared" ca="1" si="17"/>
        <v/>
      </c>
      <c r="AM26" s="23" t="str">
        <f t="shared" ca="1" si="18"/>
        <v/>
      </c>
      <c r="AN26" s="23" t="str">
        <f t="shared" ca="1" si="18"/>
        <v/>
      </c>
      <c r="AO26" s="23" t="str">
        <f t="shared" ca="1" si="18"/>
        <v/>
      </c>
      <c r="AP26" s="23" t="str">
        <f t="shared" ca="1" si="18"/>
        <v/>
      </c>
      <c r="AQ26" s="23" t="str">
        <f t="shared" ca="1" si="18"/>
        <v/>
      </c>
      <c r="AR26" s="23" t="str">
        <f t="shared" ca="1" si="18"/>
        <v/>
      </c>
      <c r="AS26" s="23" t="str">
        <f t="shared" ca="1" si="18"/>
        <v/>
      </c>
      <c r="AT26" s="23" t="str">
        <f t="shared" ca="1" si="18"/>
        <v/>
      </c>
      <c r="AU26" s="23" t="str">
        <f t="shared" ca="1" si="18"/>
        <v/>
      </c>
      <c r="AV26" s="23" t="str">
        <f t="shared" ca="1" si="18"/>
        <v/>
      </c>
      <c r="AW26" s="23" t="str">
        <f t="shared" ca="1" si="19"/>
        <v/>
      </c>
      <c r="AX26" s="23" t="str">
        <f t="shared" ca="1" si="19"/>
        <v/>
      </c>
      <c r="AY26" s="23" t="str">
        <f t="shared" ca="1" si="19"/>
        <v/>
      </c>
      <c r="AZ26" s="23" t="str">
        <f t="shared" ca="1" si="19"/>
        <v/>
      </c>
      <c r="BA26" s="23" t="str">
        <f t="shared" ca="1" si="19"/>
        <v/>
      </c>
      <c r="BB26" s="23" t="str">
        <f t="shared" ca="1" si="19"/>
        <v/>
      </c>
      <c r="BC26" s="23" t="str">
        <f t="shared" ca="1" si="19"/>
        <v/>
      </c>
      <c r="BD26" s="23" t="str">
        <f t="shared" ca="1" si="19"/>
        <v/>
      </c>
      <c r="BE26" s="23" t="str">
        <f t="shared" ca="1" si="19"/>
        <v/>
      </c>
      <c r="BF26" s="23" t="str">
        <f t="shared" ca="1" si="19"/>
        <v/>
      </c>
      <c r="BG26" s="23" t="str">
        <f t="shared" ca="1" si="20"/>
        <v/>
      </c>
      <c r="BH26" s="23" t="str">
        <f t="shared" ca="1" si="20"/>
        <v/>
      </c>
      <c r="BI26" s="23" t="str">
        <f t="shared" ca="1" si="20"/>
        <v/>
      </c>
      <c r="BJ26" s="23" t="str">
        <f t="shared" ca="1" si="20"/>
        <v/>
      </c>
      <c r="BK26" s="23" t="str">
        <f t="shared" ca="1" si="20"/>
        <v/>
      </c>
      <c r="BL26" s="23" t="str">
        <f t="shared" ca="1" si="20"/>
        <v/>
      </c>
    </row>
    <row r="27" spans="1:64" s="1" customFormat="1" ht="40.15" customHeight="1" x14ac:dyDescent="0.25">
      <c r="A27" s="9"/>
      <c r="B27" s="56" t="s">
        <v>13</v>
      </c>
      <c r="C27" s="52" t="s">
        <v>20</v>
      </c>
      <c r="D27" s="52"/>
      <c r="E27" s="53"/>
      <c r="F27" s="54">
        <f ca="1">F21+22</f>
        <v>46213</v>
      </c>
      <c r="G27" s="55">
        <v>3</v>
      </c>
      <c r="H27" s="52"/>
      <c r="I27" s="23" t="str">
        <f t="shared" ca="1" si="15"/>
        <v/>
      </c>
      <c r="J27" s="23" t="str">
        <f t="shared" ca="1" si="15"/>
        <v/>
      </c>
      <c r="K27" s="23" t="str">
        <f t="shared" ca="1" si="15"/>
        <v/>
      </c>
      <c r="L27" s="23" t="str">
        <f t="shared" ca="1" si="15"/>
        <v/>
      </c>
      <c r="M27" s="23" t="str">
        <f t="shared" ca="1" si="15"/>
        <v/>
      </c>
      <c r="N27" s="23" t="str">
        <f t="shared" ca="1" si="15"/>
        <v/>
      </c>
      <c r="O27" s="23" t="str">
        <f t="shared" ca="1" si="15"/>
        <v/>
      </c>
      <c r="P27" s="23" t="str">
        <f t="shared" ca="1" si="15"/>
        <v/>
      </c>
      <c r="Q27" s="23" t="str">
        <f t="shared" ca="1" si="15"/>
        <v/>
      </c>
      <c r="R27" s="23" t="str">
        <f t="shared" ca="1" si="15"/>
        <v/>
      </c>
      <c r="S27" s="23" t="str">
        <f t="shared" ca="1" si="16"/>
        <v/>
      </c>
      <c r="T27" s="23" t="str">
        <f t="shared" ca="1" si="16"/>
        <v/>
      </c>
      <c r="U27" s="23" t="str">
        <f t="shared" ca="1" si="16"/>
        <v/>
      </c>
      <c r="V27" s="23" t="str">
        <f t="shared" ca="1" si="16"/>
        <v/>
      </c>
      <c r="W27" s="23" t="str">
        <f t="shared" ca="1" si="16"/>
        <v/>
      </c>
      <c r="X27" s="23" t="str">
        <f t="shared" ca="1" si="16"/>
        <v/>
      </c>
      <c r="Y27" s="23" t="str">
        <f t="shared" ca="1" si="16"/>
        <v/>
      </c>
      <c r="Z27" s="23" t="str">
        <f t="shared" ca="1" si="16"/>
        <v/>
      </c>
      <c r="AA27" s="23" t="str">
        <f t="shared" ca="1" si="16"/>
        <v/>
      </c>
      <c r="AB27" s="23" t="str">
        <f t="shared" ca="1" si="16"/>
        <v/>
      </c>
      <c r="AC27" s="23" t="str">
        <f t="shared" ca="1" si="17"/>
        <v/>
      </c>
      <c r="AD27" s="23" t="str">
        <f t="shared" ca="1" si="17"/>
        <v/>
      </c>
      <c r="AE27" s="23" t="str">
        <f t="shared" ca="1" si="17"/>
        <v/>
      </c>
      <c r="AF27" s="23" t="str">
        <f t="shared" ca="1" si="17"/>
        <v/>
      </c>
      <c r="AG27" s="23" t="str">
        <f t="shared" ca="1" si="17"/>
        <v/>
      </c>
      <c r="AH27" s="23" t="str">
        <f t="shared" ca="1" si="17"/>
        <v/>
      </c>
      <c r="AI27" s="23" t="str">
        <f t="shared" ca="1" si="17"/>
        <v/>
      </c>
      <c r="AJ27" s="23" t="str">
        <f t="shared" ca="1" si="17"/>
        <v/>
      </c>
      <c r="AK27" s="23" t="str">
        <f t="shared" ca="1" si="17"/>
        <v/>
      </c>
      <c r="AL27" s="23" t="str">
        <f t="shared" ca="1" si="17"/>
        <v/>
      </c>
      <c r="AM27" s="23" t="str">
        <f t="shared" ca="1" si="18"/>
        <v/>
      </c>
      <c r="AN27" s="23" t="str">
        <f t="shared" ca="1" si="18"/>
        <v/>
      </c>
      <c r="AO27" s="23" t="str">
        <f t="shared" ca="1" si="18"/>
        <v/>
      </c>
      <c r="AP27" s="23" t="str">
        <f t="shared" ca="1" si="18"/>
        <v/>
      </c>
      <c r="AQ27" s="23" t="str">
        <f t="shared" ca="1" si="18"/>
        <v/>
      </c>
      <c r="AR27" s="23" t="str">
        <f t="shared" ca="1" si="18"/>
        <v/>
      </c>
      <c r="AS27" s="23">
        <f t="shared" ca="1" si="18"/>
        <v>2</v>
      </c>
      <c r="AT27" s="23">
        <f t="shared" ca="1" si="18"/>
        <v>2</v>
      </c>
      <c r="AU27" s="23">
        <f t="shared" ca="1" si="18"/>
        <v>2</v>
      </c>
      <c r="AV27" s="23" t="str">
        <f t="shared" ca="1" si="18"/>
        <v/>
      </c>
      <c r="AW27" s="23" t="str">
        <f t="shared" ca="1" si="19"/>
        <v/>
      </c>
      <c r="AX27" s="23" t="str">
        <f t="shared" ca="1" si="19"/>
        <v/>
      </c>
      <c r="AY27" s="23" t="str">
        <f t="shared" ca="1" si="19"/>
        <v/>
      </c>
      <c r="AZ27" s="23" t="str">
        <f t="shared" ca="1" si="19"/>
        <v/>
      </c>
      <c r="BA27" s="23" t="str">
        <f t="shared" ca="1" si="19"/>
        <v/>
      </c>
      <c r="BB27" s="23" t="str">
        <f t="shared" ca="1" si="19"/>
        <v/>
      </c>
      <c r="BC27" s="23" t="str">
        <f t="shared" ca="1" si="19"/>
        <v/>
      </c>
      <c r="BD27" s="23" t="str">
        <f t="shared" ca="1" si="19"/>
        <v/>
      </c>
      <c r="BE27" s="23" t="str">
        <f t="shared" ca="1" si="19"/>
        <v/>
      </c>
      <c r="BF27" s="23" t="str">
        <f t="shared" ca="1" si="19"/>
        <v/>
      </c>
      <c r="BG27" s="23" t="str">
        <f t="shared" ca="1" si="20"/>
        <v/>
      </c>
      <c r="BH27" s="23" t="str">
        <f t="shared" ca="1" si="20"/>
        <v/>
      </c>
      <c r="BI27" s="23" t="str">
        <f t="shared" ca="1" si="20"/>
        <v/>
      </c>
      <c r="BJ27" s="23" t="str">
        <f t="shared" ca="1" si="20"/>
        <v/>
      </c>
      <c r="BK27" s="23" t="str">
        <f t="shared" ca="1" si="20"/>
        <v/>
      </c>
      <c r="BL27" s="23" t="str">
        <f t="shared" ca="1" si="20"/>
        <v/>
      </c>
    </row>
    <row r="28" spans="1:64" s="1" customFormat="1" ht="40.15" customHeight="1" x14ac:dyDescent="0.25">
      <c r="A28" s="9"/>
      <c r="B28" s="56" t="s">
        <v>14</v>
      </c>
      <c r="C28" s="52" t="s">
        <v>22</v>
      </c>
      <c r="D28" s="52"/>
      <c r="E28" s="53"/>
      <c r="F28" s="54">
        <f ca="1">F16</f>
        <v>46182</v>
      </c>
      <c r="G28" s="55">
        <v>19</v>
      </c>
      <c r="H28" s="52"/>
      <c r="I28" s="23" t="str">
        <f t="shared" ca="1" si="15"/>
        <v/>
      </c>
      <c r="J28" s="23" t="str">
        <f t="shared" ca="1" si="15"/>
        <v/>
      </c>
      <c r="K28" s="23" t="str">
        <f t="shared" ca="1" si="15"/>
        <v/>
      </c>
      <c r="L28" s="23" t="str">
        <f t="shared" ca="1" si="15"/>
        <v/>
      </c>
      <c r="M28" s="23" t="str">
        <f t="shared" ca="1" si="15"/>
        <v/>
      </c>
      <c r="N28" s="23" t="str">
        <f t="shared" ca="1" si="15"/>
        <v/>
      </c>
      <c r="O28" s="23" t="str">
        <f t="shared" ca="1" si="15"/>
        <v/>
      </c>
      <c r="P28" s="23" t="str">
        <f t="shared" ca="1" si="15"/>
        <v/>
      </c>
      <c r="Q28" s="23" t="str">
        <f t="shared" ca="1" si="15"/>
        <v/>
      </c>
      <c r="R28" s="23" t="str">
        <f t="shared" ca="1" si="15"/>
        <v/>
      </c>
      <c r="S28" s="23" t="str">
        <f t="shared" ca="1" si="16"/>
        <v/>
      </c>
      <c r="T28" s="23" t="str">
        <f t="shared" ca="1" si="16"/>
        <v/>
      </c>
      <c r="U28" s="23" t="str">
        <f t="shared" ca="1" si="16"/>
        <v/>
      </c>
      <c r="V28" s="23" t="str">
        <f t="shared" ca="1" si="16"/>
        <v/>
      </c>
      <c r="W28" s="23" t="str">
        <f t="shared" ca="1" si="16"/>
        <v/>
      </c>
      <c r="X28" s="23" t="str">
        <f t="shared" ca="1" si="16"/>
        <v/>
      </c>
      <c r="Y28" s="23" t="str">
        <f t="shared" ca="1" si="16"/>
        <v/>
      </c>
      <c r="Z28" s="23" t="str">
        <f t="shared" ca="1" si="16"/>
        <v/>
      </c>
      <c r="AA28" s="23" t="str">
        <f t="shared" ca="1" si="16"/>
        <v/>
      </c>
      <c r="AB28" s="23" t="str">
        <f t="shared" ca="1" si="16"/>
        <v/>
      </c>
      <c r="AC28" s="23" t="str">
        <f t="shared" ca="1" si="17"/>
        <v/>
      </c>
      <c r="AD28" s="23" t="str">
        <f t="shared" ca="1" si="17"/>
        <v/>
      </c>
      <c r="AE28" s="23" t="str">
        <f t="shared" ca="1" si="17"/>
        <v/>
      </c>
      <c r="AF28" s="23" t="str">
        <f t="shared" ca="1" si="17"/>
        <v/>
      </c>
      <c r="AG28" s="23" t="str">
        <f t="shared" ca="1" si="17"/>
        <v/>
      </c>
      <c r="AH28" s="23" t="str">
        <f t="shared" ca="1" si="17"/>
        <v/>
      </c>
      <c r="AI28" s="23" t="str">
        <f t="shared" ca="1" si="17"/>
        <v/>
      </c>
      <c r="AJ28" s="23" t="str">
        <f t="shared" ca="1" si="17"/>
        <v/>
      </c>
      <c r="AK28" s="23" t="str">
        <f t="shared" ca="1" si="17"/>
        <v/>
      </c>
      <c r="AL28" s="23" t="str">
        <f t="shared" ca="1" si="17"/>
        <v/>
      </c>
      <c r="AM28" s="23" t="str">
        <f t="shared" ca="1" si="18"/>
        <v/>
      </c>
      <c r="AN28" s="23" t="str">
        <f t="shared" ca="1" si="18"/>
        <v/>
      </c>
      <c r="AO28" s="23" t="str">
        <f t="shared" ca="1" si="18"/>
        <v/>
      </c>
      <c r="AP28" s="23" t="str">
        <f t="shared" ca="1" si="18"/>
        <v/>
      </c>
      <c r="AQ28" s="23" t="str">
        <f t="shared" ca="1" si="18"/>
        <v/>
      </c>
      <c r="AR28" s="23" t="str">
        <f t="shared" ca="1" si="18"/>
        <v/>
      </c>
      <c r="AS28" s="23" t="str">
        <f t="shared" ca="1" si="18"/>
        <v/>
      </c>
      <c r="AT28" s="23" t="str">
        <f t="shared" ca="1" si="18"/>
        <v/>
      </c>
      <c r="AU28" s="23" t="str">
        <f t="shared" ca="1" si="18"/>
        <v/>
      </c>
      <c r="AV28" s="23" t="str">
        <f t="shared" ca="1" si="18"/>
        <v/>
      </c>
      <c r="AW28" s="23" t="str">
        <f t="shared" ca="1" si="19"/>
        <v/>
      </c>
      <c r="AX28" s="23" t="str">
        <f t="shared" ca="1" si="19"/>
        <v/>
      </c>
      <c r="AY28" s="23" t="str">
        <f t="shared" ca="1" si="19"/>
        <v/>
      </c>
      <c r="AZ28" s="23" t="str">
        <f t="shared" ca="1" si="19"/>
        <v/>
      </c>
      <c r="BA28" s="23" t="str">
        <f t="shared" ca="1" si="19"/>
        <v/>
      </c>
      <c r="BB28" s="23" t="str">
        <f t="shared" ca="1" si="19"/>
        <v/>
      </c>
      <c r="BC28" s="23" t="str">
        <f t="shared" ca="1" si="19"/>
        <v/>
      </c>
      <c r="BD28" s="23" t="str">
        <f t="shared" ca="1" si="19"/>
        <v/>
      </c>
      <c r="BE28" s="23" t="str">
        <f t="shared" ca="1" si="19"/>
        <v/>
      </c>
      <c r="BF28" s="23" t="str">
        <f t="shared" ca="1" si="19"/>
        <v/>
      </c>
      <c r="BG28" s="23" t="str">
        <f t="shared" ca="1" si="20"/>
        <v/>
      </c>
      <c r="BH28" s="23" t="str">
        <f t="shared" ca="1" si="20"/>
        <v/>
      </c>
      <c r="BI28" s="23" t="str">
        <f t="shared" ca="1" si="20"/>
        <v/>
      </c>
      <c r="BJ28" s="23" t="str">
        <f t="shared" ca="1" si="20"/>
        <v/>
      </c>
      <c r="BK28" s="23" t="str">
        <f t="shared" ca="1" si="20"/>
        <v/>
      </c>
      <c r="BL28" s="23" t="str">
        <f t="shared" ca="1" si="20"/>
        <v/>
      </c>
    </row>
    <row r="29" spans="1:64" s="1" customFormat="1" ht="40.15" customHeight="1" x14ac:dyDescent="0.25">
      <c r="A29" s="9"/>
      <c r="B29" s="98" t="s">
        <v>17</v>
      </c>
      <c r="C29" s="52"/>
      <c r="D29" s="52"/>
      <c r="E29" s="53"/>
      <c r="F29" s="54"/>
      <c r="G29" s="55"/>
      <c r="H29" s="52"/>
      <c r="I29" s="23" t="str">
        <f t="shared" ca="1" si="15"/>
        <v/>
      </c>
      <c r="J29" s="23" t="str">
        <f t="shared" ca="1" si="15"/>
        <v/>
      </c>
      <c r="K29" s="23" t="str">
        <f t="shared" ca="1" si="15"/>
        <v/>
      </c>
      <c r="L29" s="23" t="str">
        <f t="shared" ca="1" si="15"/>
        <v/>
      </c>
      <c r="M29" s="23" t="str">
        <f t="shared" ca="1" si="15"/>
        <v/>
      </c>
      <c r="N29" s="23" t="str">
        <f t="shared" ca="1" si="15"/>
        <v/>
      </c>
      <c r="O29" s="23" t="str">
        <f t="shared" ca="1" si="15"/>
        <v/>
      </c>
      <c r="P29" s="23" t="str">
        <f t="shared" ca="1" si="15"/>
        <v/>
      </c>
      <c r="Q29" s="23" t="str">
        <f t="shared" ca="1" si="15"/>
        <v/>
      </c>
      <c r="R29" s="23" t="str">
        <f t="shared" ca="1" si="15"/>
        <v/>
      </c>
      <c r="S29" s="23" t="str">
        <f t="shared" ca="1" si="16"/>
        <v/>
      </c>
      <c r="T29" s="23" t="str">
        <f t="shared" ca="1" si="16"/>
        <v/>
      </c>
      <c r="U29" s="23" t="str">
        <f t="shared" ca="1" si="16"/>
        <v/>
      </c>
      <c r="V29" s="23" t="str">
        <f t="shared" ca="1" si="16"/>
        <v/>
      </c>
      <c r="W29" s="23" t="str">
        <f t="shared" ca="1" si="16"/>
        <v/>
      </c>
      <c r="X29" s="23" t="str">
        <f t="shared" ca="1" si="16"/>
        <v/>
      </c>
      <c r="Y29" s="23" t="str">
        <f t="shared" ca="1" si="16"/>
        <v/>
      </c>
      <c r="Z29" s="23" t="str">
        <f t="shared" ca="1" si="16"/>
        <v/>
      </c>
      <c r="AA29" s="23" t="str">
        <f t="shared" ca="1" si="16"/>
        <v/>
      </c>
      <c r="AB29" s="23" t="str">
        <f t="shared" ca="1" si="16"/>
        <v/>
      </c>
      <c r="AC29" s="23" t="str">
        <f t="shared" ca="1" si="17"/>
        <v/>
      </c>
      <c r="AD29" s="23" t="str">
        <f t="shared" ca="1" si="17"/>
        <v/>
      </c>
      <c r="AE29" s="23" t="str">
        <f t="shared" ca="1" si="17"/>
        <v/>
      </c>
      <c r="AF29" s="23" t="str">
        <f t="shared" ca="1" si="17"/>
        <v/>
      </c>
      <c r="AG29" s="23" t="str">
        <f t="shared" ca="1" si="17"/>
        <v/>
      </c>
      <c r="AH29" s="23" t="str">
        <f t="shared" ca="1" si="17"/>
        <v/>
      </c>
      <c r="AI29" s="23" t="str">
        <f t="shared" ca="1" si="17"/>
        <v/>
      </c>
      <c r="AJ29" s="23" t="str">
        <f t="shared" ca="1" si="17"/>
        <v/>
      </c>
      <c r="AK29" s="23" t="str">
        <f t="shared" ca="1" si="17"/>
        <v/>
      </c>
      <c r="AL29" s="23" t="str">
        <f t="shared" ca="1" si="17"/>
        <v/>
      </c>
      <c r="AM29" s="23" t="str">
        <f t="shared" ca="1" si="18"/>
        <v/>
      </c>
      <c r="AN29" s="23" t="str">
        <f t="shared" ca="1" si="18"/>
        <v/>
      </c>
      <c r="AO29" s="23" t="str">
        <f t="shared" ca="1" si="18"/>
        <v/>
      </c>
      <c r="AP29" s="23" t="str">
        <f t="shared" ca="1" si="18"/>
        <v/>
      </c>
      <c r="AQ29" s="23" t="str">
        <f t="shared" ca="1" si="18"/>
        <v/>
      </c>
      <c r="AR29" s="23" t="str">
        <f t="shared" ca="1" si="18"/>
        <v/>
      </c>
      <c r="AS29" s="23" t="str">
        <f t="shared" ca="1" si="18"/>
        <v/>
      </c>
      <c r="AT29" s="23" t="str">
        <f t="shared" ca="1" si="18"/>
        <v/>
      </c>
      <c r="AU29" s="23" t="str">
        <f t="shared" ca="1" si="18"/>
        <v/>
      </c>
      <c r="AV29" s="23" t="str">
        <f t="shared" ca="1" si="18"/>
        <v/>
      </c>
      <c r="AW29" s="23" t="str">
        <f t="shared" ca="1" si="19"/>
        <v/>
      </c>
      <c r="AX29" s="23" t="str">
        <f t="shared" ca="1" si="19"/>
        <v/>
      </c>
      <c r="AY29" s="23" t="str">
        <f t="shared" ca="1" si="19"/>
        <v/>
      </c>
      <c r="AZ29" s="23" t="str">
        <f t="shared" ca="1" si="19"/>
        <v/>
      </c>
      <c r="BA29" s="23" t="str">
        <f t="shared" ca="1" si="19"/>
        <v/>
      </c>
      <c r="BB29" s="23" t="str">
        <f t="shared" ca="1" si="19"/>
        <v/>
      </c>
      <c r="BC29" s="23" t="str">
        <f t="shared" ca="1" si="19"/>
        <v/>
      </c>
      <c r="BD29" s="23" t="str">
        <f t="shared" ca="1" si="19"/>
        <v/>
      </c>
      <c r="BE29" s="23" t="str">
        <f t="shared" ca="1" si="19"/>
        <v/>
      </c>
      <c r="BF29" s="23" t="str">
        <f t="shared" ca="1" si="19"/>
        <v/>
      </c>
      <c r="BG29" s="23" t="str">
        <f t="shared" ca="1" si="20"/>
        <v/>
      </c>
      <c r="BH29" s="23" t="str">
        <f t="shared" ca="1" si="20"/>
        <v/>
      </c>
      <c r="BI29" s="23" t="str">
        <f t="shared" ca="1" si="20"/>
        <v/>
      </c>
      <c r="BJ29" s="23" t="str">
        <f t="shared" ca="1" si="20"/>
        <v/>
      </c>
      <c r="BK29" s="23" t="str">
        <f t="shared" ca="1" si="20"/>
        <v/>
      </c>
      <c r="BL29" s="23" t="str">
        <f t="shared" ca="1" si="20"/>
        <v/>
      </c>
    </row>
    <row r="30" spans="1:64" s="1" customFormat="1" ht="40.15" customHeight="1" x14ac:dyDescent="0.25">
      <c r="A30" s="9"/>
      <c r="B30" s="56" t="s">
        <v>10</v>
      </c>
      <c r="C30" s="52"/>
      <c r="D30" s="52"/>
      <c r="E30" s="53"/>
      <c r="F30" s="54">
        <f ca="1">F27+3</f>
        <v>46216</v>
      </c>
      <c r="G30" s="55">
        <v>15</v>
      </c>
      <c r="H30" s="52"/>
      <c r="I30" s="23" t="str">
        <f t="shared" ca="1" si="15"/>
        <v/>
      </c>
      <c r="J30" s="23" t="str">
        <f t="shared" ca="1" si="15"/>
        <v/>
      </c>
      <c r="K30" s="23" t="str">
        <f t="shared" ca="1" si="15"/>
        <v/>
      </c>
      <c r="L30" s="23" t="str">
        <f t="shared" ca="1" si="15"/>
        <v/>
      </c>
      <c r="M30" s="23" t="str">
        <f t="shared" ca="1" si="15"/>
        <v/>
      </c>
      <c r="N30" s="23" t="str">
        <f t="shared" ca="1" si="15"/>
        <v/>
      </c>
      <c r="O30" s="23" t="str">
        <f t="shared" ca="1" si="15"/>
        <v/>
      </c>
      <c r="P30" s="23" t="str">
        <f t="shared" ca="1" si="15"/>
        <v/>
      </c>
      <c r="Q30" s="23" t="str">
        <f t="shared" ca="1" si="15"/>
        <v/>
      </c>
      <c r="R30" s="23" t="str">
        <f t="shared" ca="1" si="15"/>
        <v/>
      </c>
      <c r="S30" s="23" t="str">
        <f t="shared" ca="1" si="16"/>
        <v/>
      </c>
      <c r="T30" s="23" t="str">
        <f t="shared" ca="1" si="16"/>
        <v/>
      </c>
      <c r="U30" s="23" t="str">
        <f t="shared" ca="1" si="16"/>
        <v/>
      </c>
      <c r="V30" s="23" t="str">
        <f t="shared" ca="1" si="16"/>
        <v/>
      </c>
      <c r="W30" s="23" t="str">
        <f t="shared" ca="1" si="16"/>
        <v/>
      </c>
      <c r="X30" s="23" t="str">
        <f t="shared" ca="1" si="16"/>
        <v/>
      </c>
      <c r="Y30" s="23" t="str">
        <f t="shared" ca="1" si="16"/>
        <v/>
      </c>
      <c r="Z30" s="23" t="str">
        <f t="shared" ca="1" si="16"/>
        <v/>
      </c>
      <c r="AA30" s="23" t="str">
        <f t="shared" ca="1" si="16"/>
        <v/>
      </c>
      <c r="AB30" s="23" t="str">
        <f t="shared" ca="1" si="16"/>
        <v/>
      </c>
      <c r="AC30" s="23" t="str">
        <f t="shared" ca="1" si="17"/>
        <v/>
      </c>
      <c r="AD30" s="23" t="str">
        <f t="shared" ca="1" si="17"/>
        <v/>
      </c>
      <c r="AE30" s="23" t="str">
        <f t="shared" ca="1" si="17"/>
        <v/>
      </c>
      <c r="AF30" s="23" t="str">
        <f t="shared" ca="1" si="17"/>
        <v/>
      </c>
      <c r="AG30" s="23" t="str">
        <f t="shared" ca="1" si="17"/>
        <v/>
      </c>
      <c r="AH30" s="23" t="str">
        <f t="shared" ca="1" si="17"/>
        <v/>
      </c>
      <c r="AI30" s="23" t="str">
        <f t="shared" ca="1" si="17"/>
        <v/>
      </c>
      <c r="AJ30" s="23" t="str">
        <f t="shared" ca="1" si="17"/>
        <v/>
      </c>
      <c r="AK30" s="23" t="str">
        <f t="shared" ca="1" si="17"/>
        <v/>
      </c>
      <c r="AL30" s="23" t="str">
        <f t="shared" ca="1" si="17"/>
        <v/>
      </c>
      <c r="AM30" s="23" t="str">
        <f t="shared" ca="1" si="18"/>
        <v/>
      </c>
      <c r="AN30" s="23" t="str">
        <f t="shared" ca="1" si="18"/>
        <v/>
      </c>
      <c r="AO30" s="23" t="str">
        <f t="shared" ca="1" si="18"/>
        <v/>
      </c>
      <c r="AP30" s="23" t="str">
        <f t="shared" ca="1" si="18"/>
        <v/>
      </c>
      <c r="AQ30" s="23" t="str">
        <f t="shared" ca="1" si="18"/>
        <v/>
      </c>
      <c r="AR30" s="23" t="str">
        <f t="shared" ca="1" si="18"/>
        <v/>
      </c>
      <c r="AS30" s="23" t="str">
        <f t="shared" ca="1" si="18"/>
        <v/>
      </c>
      <c r="AT30" s="23" t="str">
        <f t="shared" ca="1" si="18"/>
        <v/>
      </c>
      <c r="AU30" s="23" t="str">
        <f t="shared" ca="1" si="18"/>
        <v/>
      </c>
      <c r="AV30" s="23" t="str">
        <f t="shared" ca="1" si="18"/>
        <v/>
      </c>
      <c r="AW30" s="23" t="str">
        <f t="shared" ca="1" si="19"/>
        <v/>
      </c>
      <c r="AX30" s="23" t="str">
        <f t="shared" ca="1" si="19"/>
        <v/>
      </c>
      <c r="AY30" s="23" t="str">
        <f t="shared" ca="1" si="19"/>
        <v/>
      </c>
      <c r="AZ30" s="23" t="str">
        <f t="shared" ca="1" si="19"/>
        <v/>
      </c>
      <c r="BA30" s="23" t="str">
        <f t="shared" ca="1" si="19"/>
        <v/>
      </c>
      <c r="BB30" s="23" t="str">
        <f t="shared" ca="1" si="19"/>
        <v/>
      </c>
      <c r="BC30" s="23" t="str">
        <f t="shared" ca="1" si="19"/>
        <v/>
      </c>
      <c r="BD30" s="23" t="str">
        <f t="shared" ca="1" si="19"/>
        <v/>
      </c>
      <c r="BE30" s="23" t="str">
        <f t="shared" ca="1" si="19"/>
        <v/>
      </c>
      <c r="BF30" s="23" t="str">
        <f t="shared" ca="1" si="19"/>
        <v/>
      </c>
      <c r="BG30" s="23" t="str">
        <f t="shared" ca="1" si="20"/>
        <v/>
      </c>
      <c r="BH30" s="23" t="str">
        <f t="shared" ca="1" si="20"/>
        <v/>
      </c>
      <c r="BI30" s="23" t="str">
        <f t="shared" ca="1" si="20"/>
        <v/>
      </c>
      <c r="BJ30" s="23" t="str">
        <f t="shared" ca="1" si="20"/>
        <v/>
      </c>
      <c r="BK30" s="23" t="str">
        <f t="shared" ca="1" si="20"/>
        <v/>
      </c>
      <c r="BL30" s="23" t="str">
        <f t="shared" ca="1" si="20"/>
        <v/>
      </c>
    </row>
    <row r="31" spans="1:64" s="1" customFormat="1" ht="40.15" customHeight="1" x14ac:dyDescent="0.25">
      <c r="A31" s="9"/>
      <c r="B31" s="56" t="s">
        <v>11</v>
      </c>
      <c r="C31" s="52"/>
      <c r="D31" s="52"/>
      <c r="E31" s="53"/>
      <c r="F31" s="54">
        <f ca="1">F30+14</f>
        <v>46230</v>
      </c>
      <c r="G31" s="55">
        <v>5</v>
      </c>
      <c r="H31" s="52"/>
      <c r="I31" s="23" t="str">
        <f t="shared" ca="1" si="15"/>
        <v/>
      </c>
      <c r="J31" s="23" t="str">
        <f t="shared" ca="1" si="15"/>
        <v/>
      </c>
      <c r="K31" s="23" t="str">
        <f t="shared" ca="1" si="15"/>
        <v/>
      </c>
      <c r="L31" s="23" t="str">
        <f t="shared" ca="1" si="15"/>
        <v/>
      </c>
      <c r="M31" s="23" t="str">
        <f t="shared" ca="1" si="15"/>
        <v/>
      </c>
      <c r="N31" s="23" t="str">
        <f t="shared" ca="1" si="15"/>
        <v/>
      </c>
      <c r="O31" s="23" t="str">
        <f t="shared" ca="1" si="15"/>
        <v/>
      </c>
      <c r="P31" s="23" t="str">
        <f t="shared" ca="1" si="15"/>
        <v/>
      </c>
      <c r="Q31" s="23" t="str">
        <f t="shared" ca="1" si="15"/>
        <v/>
      </c>
      <c r="R31" s="23" t="str">
        <f t="shared" ca="1" si="15"/>
        <v/>
      </c>
      <c r="S31" s="23" t="str">
        <f t="shared" ca="1" si="16"/>
        <v/>
      </c>
      <c r="T31" s="23" t="str">
        <f t="shared" ca="1" si="16"/>
        <v/>
      </c>
      <c r="U31" s="23" t="str">
        <f t="shared" ca="1" si="16"/>
        <v/>
      </c>
      <c r="V31" s="23" t="str">
        <f t="shared" ca="1" si="16"/>
        <v/>
      </c>
      <c r="W31" s="23" t="str">
        <f t="shared" ca="1" si="16"/>
        <v/>
      </c>
      <c r="X31" s="23" t="str">
        <f t="shared" ca="1" si="16"/>
        <v/>
      </c>
      <c r="Y31" s="23" t="str">
        <f t="shared" ca="1" si="16"/>
        <v/>
      </c>
      <c r="Z31" s="23" t="str">
        <f t="shared" ca="1" si="16"/>
        <v/>
      </c>
      <c r="AA31" s="23" t="str">
        <f t="shared" ca="1" si="16"/>
        <v/>
      </c>
      <c r="AB31" s="23" t="str">
        <f t="shared" ca="1" si="16"/>
        <v/>
      </c>
      <c r="AC31" s="23" t="str">
        <f t="shared" ca="1" si="17"/>
        <v/>
      </c>
      <c r="AD31" s="23" t="str">
        <f t="shared" ca="1" si="17"/>
        <v/>
      </c>
      <c r="AE31" s="23" t="str">
        <f t="shared" ca="1" si="17"/>
        <v/>
      </c>
      <c r="AF31" s="23" t="str">
        <f t="shared" ca="1" si="17"/>
        <v/>
      </c>
      <c r="AG31" s="23" t="str">
        <f t="shared" ca="1" si="17"/>
        <v/>
      </c>
      <c r="AH31" s="23" t="str">
        <f t="shared" ca="1" si="17"/>
        <v/>
      </c>
      <c r="AI31" s="23" t="str">
        <f t="shared" ca="1" si="17"/>
        <v/>
      </c>
      <c r="AJ31" s="23" t="str">
        <f t="shared" ca="1" si="17"/>
        <v/>
      </c>
      <c r="AK31" s="23" t="str">
        <f t="shared" ca="1" si="17"/>
        <v/>
      </c>
      <c r="AL31" s="23" t="str">
        <f t="shared" ca="1" si="17"/>
        <v/>
      </c>
      <c r="AM31" s="23" t="str">
        <f t="shared" ca="1" si="18"/>
        <v/>
      </c>
      <c r="AN31" s="23" t="str">
        <f t="shared" ca="1" si="18"/>
        <v/>
      </c>
      <c r="AO31" s="23" t="str">
        <f t="shared" ca="1" si="18"/>
        <v/>
      </c>
      <c r="AP31" s="23" t="str">
        <f t="shared" ca="1" si="18"/>
        <v/>
      </c>
      <c r="AQ31" s="23" t="str">
        <f t="shared" ca="1" si="18"/>
        <v/>
      </c>
      <c r="AR31" s="23" t="str">
        <f t="shared" ca="1" si="18"/>
        <v/>
      </c>
      <c r="AS31" s="23" t="str">
        <f t="shared" ca="1" si="18"/>
        <v/>
      </c>
      <c r="AT31" s="23" t="str">
        <f t="shared" ca="1" si="18"/>
        <v/>
      </c>
      <c r="AU31" s="23" t="str">
        <f t="shared" ca="1" si="18"/>
        <v/>
      </c>
      <c r="AV31" s="23" t="str">
        <f t="shared" ca="1" si="18"/>
        <v/>
      </c>
      <c r="AW31" s="23" t="str">
        <f t="shared" ca="1" si="19"/>
        <v/>
      </c>
      <c r="AX31" s="23" t="str">
        <f t="shared" ca="1" si="19"/>
        <v/>
      </c>
      <c r="AY31" s="23" t="str">
        <f t="shared" ca="1" si="19"/>
        <v/>
      </c>
      <c r="AZ31" s="23" t="str">
        <f t="shared" ca="1" si="19"/>
        <v/>
      </c>
      <c r="BA31" s="23" t="str">
        <f t="shared" ca="1" si="19"/>
        <v/>
      </c>
      <c r="BB31" s="23" t="str">
        <f t="shared" ca="1" si="19"/>
        <v/>
      </c>
      <c r="BC31" s="23" t="str">
        <f t="shared" ca="1" si="19"/>
        <v/>
      </c>
      <c r="BD31" s="23" t="str">
        <f t="shared" ca="1" si="19"/>
        <v/>
      </c>
      <c r="BE31" s="23" t="str">
        <f t="shared" ca="1" si="19"/>
        <v/>
      </c>
      <c r="BF31" s="23" t="str">
        <f t="shared" ca="1" si="19"/>
        <v/>
      </c>
      <c r="BG31" s="23" t="str">
        <f t="shared" ca="1" si="20"/>
        <v/>
      </c>
      <c r="BH31" s="23" t="str">
        <f t="shared" ca="1" si="20"/>
        <v/>
      </c>
      <c r="BI31" s="23" t="str">
        <f t="shared" ca="1" si="20"/>
        <v/>
      </c>
      <c r="BJ31" s="23" t="str">
        <f t="shared" ca="1" si="20"/>
        <v/>
      </c>
      <c r="BK31" s="23" t="str">
        <f t="shared" ca="1" si="20"/>
        <v/>
      </c>
      <c r="BL31" s="23" t="str">
        <f t="shared" ca="1" si="20"/>
        <v/>
      </c>
    </row>
    <row r="32" spans="1:64" s="1" customFormat="1" ht="40.15" customHeight="1" x14ac:dyDescent="0.25">
      <c r="A32" s="9"/>
      <c r="B32" s="56" t="s">
        <v>12</v>
      </c>
      <c r="C32" s="52" t="s">
        <v>21</v>
      </c>
      <c r="D32" s="52"/>
      <c r="E32" s="53"/>
      <c r="F32" s="54">
        <f ca="1">F31+42</f>
        <v>46272</v>
      </c>
      <c r="G32" s="55">
        <v>1</v>
      </c>
      <c r="H32" s="52"/>
      <c r="I32" s="23" t="str">
        <f t="shared" ca="1" si="15"/>
        <v/>
      </c>
      <c r="J32" s="23" t="str">
        <f t="shared" ca="1" si="15"/>
        <v/>
      </c>
      <c r="K32" s="23" t="str">
        <f t="shared" ca="1" si="15"/>
        <v/>
      </c>
      <c r="L32" s="23" t="str">
        <f t="shared" ca="1" si="15"/>
        <v/>
      </c>
      <c r="M32" s="23" t="str">
        <f t="shared" ca="1" si="15"/>
        <v/>
      </c>
      <c r="N32" s="23" t="str">
        <f t="shared" ca="1" si="15"/>
        <v/>
      </c>
      <c r="O32" s="23" t="str">
        <f t="shared" ca="1" si="15"/>
        <v/>
      </c>
      <c r="P32" s="23" t="str">
        <f t="shared" ca="1" si="15"/>
        <v/>
      </c>
      <c r="Q32" s="23" t="str">
        <f t="shared" ca="1" si="15"/>
        <v/>
      </c>
      <c r="R32" s="23" t="str">
        <f t="shared" ca="1" si="15"/>
        <v/>
      </c>
      <c r="S32" s="23" t="str">
        <f t="shared" ca="1" si="16"/>
        <v/>
      </c>
      <c r="T32" s="23" t="str">
        <f t="shared" ca="1" si="16"/>
        <v/>
      </c>
      <c r="U32" s="23" t="str">
        <f t="shared" ca="1" si="16"/>
        <v/>
      </c>
      <c r="V32" s="23" t="str">
        <f t="shared" ca="1" si="16"/>
        <v/>
      </c>
      <c r="W32" s="23" t="str">
        <f t="shared" ca="1" si="16"/>
        <v/>
      </c>
      <c r="X32" s="23" t="str">
        <f t="shared" ca="1" si="16"/>
        <v/>
      </c>
      <c r="Y32" s="23" t="str">
        <f t="shared" ca="1" si="16"/>
        <v/>
      </c>
      <c r="Z32" s="23" t="str">
        <f t="shared" ca="1" si="16"/>
        <v/>
      </c>
      <c r="AA32" s="23" t="str">
        <f t="shared" ca="1" si="16"/>
        <v/>
      </c>
      <c r="AB32" s="23" t="str">
        <f t="shared" ca="1" si="16"/>
        <v/>
      </c>
      <c r="AC32" s="23" t="str">
        <f t="shared" ca="1" si="17"/>
        <v/>
      </c>
      <c r="AD32" s="23" t="str">
        <f t="shared" ca="1" si="17"/>
        <v/>
      </c>
      <c r="AE32" s="23" t="str">
        <f t="shared" ca="1" si="17"/>
        <v/>
      </c>
      <c r="AF32" s="23" t="str">
        <f t="shared" ca="1" si="17"/>
        <v/>
      </c>
      <c r="AG32" s="23" t="str">
        <f t="shared" ca="1" si="17"/>
        <v/>
      </c>
      <c r="AH32" s="23" t="str">
        <f t="shared" ca="1" si="17"/>
        <v/>
      </c>
      <c r="AI32" s="23" t="str">
        <f t="shared" ca="1" si="17"/>
        <v/>
      </c>
      <c r="AJ32" s="23" t="str">
        <f t="shared" ca="1" si="17"/>
        <v/>
      </c>
      <c r="AK32" s="23" t="str">
        <f t="shared" ca="1" si="17"/>
        <v/>
      </c>
      <c r="AL32" s="23" t="str">
        <f t="shared" ca="1" si="17"/>
        <v/>
      </c>
      <c r="AM32" s="23" t="str">
        <f t="shared" ca="1" si="18"/>
        <v/>
      </c>
      <c r="AN32" s="23" t="str">
        <f t="shared" ca="1" si="18"/>
        <v/>
      </c>
      <c r="AO32" s="23" t="str">
        <f t="shared" ca="1" si="18"/>
        <v/>
      </c>
      <c r="AP32" s="23" t="str">
        <f t="shared" ca="1" si="18"/>
        <v/>
      </c>
      <c r="AQ32" s="23" t="str">
        <f t="shared" ca="1" si="18"/>
        <v/>
      </c>
      <c r="AR32" s="23" t="str">
        <f t="shared" ca="1" si="18"/>
        <v/>
      </c>
      <c r="AS32" s="23" t="str">
        <f t="shared" ca="1" si="18"/>
        <v/>
      </c>
      <c r="AT32" s="23" t="str">
        <f t="shared" ca="1" si="18"/>
        <v/>
      </c>
      <c r="AU32" s="23" t="str">
        <f t="shared" ca="1" si="18"/>
        <v/>
      </c>
      <c r="AV32" s="23" t="str">
        <f t="shared" ca="1" si="18"/>
        <v/>
      </c>
      <c r="AW32" s="23" t="str">
        <f t="shared" ca="1" si="19"/>
        <v/>
      </c>
      <c r="AX32" s="23" t="str">
        <f t="shared" ca="1" si="19"/>
        <v/>
      </c>
      <c r="AY32" s="23" t="str">
        <f t="shared" ca="1" si="19"/>
        <v/>
      </c>
      <c r="AZ32" s="23" t="str">
        <f t="shared" ca="1" si="19"/>
        <v/>
      </c>
      <c r="BA32" s="23" t="str">
        <f t="shared" ca="1" si="19"/>
        <v/>
      </c>
      <c r="BB32" s="23" t="str">
        <f t="shared" ca="1" si="19"/>
        <v/>
      </c>
      <c r="BC32" s="23" t="str">
        <f t="shared" ca="1" si="19"/>
        <v/>
      </c>
      <c r="BD32" s="23" t="str">
        <f t="shared" ca="1" si="19"/>
        <v/>
      </c>
      <c r="BE32" s="23" t="str">
        <f t="shared" ca="1" si="19"/>
        <v/>
      </c>
      <c r="BF32" s="23" t="str">
        <f t="shared" ca="1" si="19"/>
        <v/>
      </c>
      <c r="BG32" s="23" t="str">
        <f t="shared" ca="1" si="20"/>
        <v/>
      </c>
      <c r="BH32" s="23" t="str">
        <f t="shared" ca="1" si="20"/>
        <v/>
      </c>
      <c r="BI32" s="23" t="str">
        <f t="shared" ca="1" si="20"/>
        <v/>
      </c>
      <c r="BJ32" s="23" t="str">
        <f t="shared" ca="1" si="20"/>
        <v/>
      </c>
      <c r="BK32" s="23" t="str">
        <f t="shared" ca="1" si="20"/>
        <v/>
      </c>
      <c r="BL32" s="23" t="str">
        <f t="shared" ca="1" si="20"/>
        <v/>
      </c>
    </row>
    <row r="33" spans="1:65" s="1" customFormat="1" ht="40.15" customHeight="1" x14ac:dyDescent="0.25">
      <c r="A33" s="9"/>
      <c r="B33" s="56" t="s">
        <v>13</v>
      </c>
      <c r="C33" s="52"/>
      <c r="D33" s="52"/>
      <c r="E33" s="53"/>
      <c r="F33" s="54"/>
      <c r="G33" s="55"/>
      <c r="H33" s="52"/>
      <c r="I33" s="23" t="str">
        <f t="shared" ca="1" si="15"/>
        <v/>
      </c>
      <c r="J33" s="23" t="str">
        <f t="shared" ca="1" si="15"/>
        <v/>
      </c>
      <c r="K33" s="23" t="str">
        <f t="shared" ca="1" si="15"/>
        <v/>
      </c>
      <c r="L33" s="23" t="str">
        <f t="shared" ca="1" si="15"/>
        <v/>
      </c>
      <c r="M33" s="23" t="str">
        <f t="shared" ca="1" si="15"/>
        <v/>
      </c>
      <c r="N33" s="23" t="str">
        <f t="shared" ca="1" si="15"/>
        <v/>
      </c>
      <c r="O33" s="23" t="str">
        <f t="shared" ca="1" si="15"/>
        <v/>
      </c>
      <c r="P33" s="23" t="str">
        <f t="shared" ca="1" si="15"/>
        <v/>
      </c>
      <c r="Q33" s="23" t="str">
        <f t="shared" ca="1" si="15"/>
        <v/>
      </c>
      <c r="R33" s="23" t="str">
        <f t="shared" ca="1" si="15"/>
        <v/>
      </c>
      <c r="S33" s="23" t="str">
        <f t="shared" ca="1" si="16"/>
        <v/>
      </c>
      <c r="T33" s="23" t="str">
        <f t="shared" ca="1" si="16"/>
        <v/>
      </c>
      <c r="U33" s="23" t="str">
        <f t="shared" ca="1" si="16"/>
        <v/>
      </c>
      <c r="V33" s="23" t="str">
        <f t="shared" ca="1" si="16"/>
        <v/>
      </c>
      <c r="W33" s="23" t="str">
        <f t="shared" ca="1" si="16"/>
        <v/>
      </c>
      <c r="X33" s="23" t="str">
        <f t="shared" ca="1" si="16"/>
        <v/>
      </c>
      <c r="Y33" s="23" t="str">
        <f t="shared" ca="1" si="16"/>
        <v/>
      </c>
      <c r="Z33" s="23" t="str">
        <f t="shared" ca="1" si="16"/>
        <v/>
      </c>
      <c r="AA33" s="23" t="str">
        <f t="shared" ca="1" si="16"/>
        <v/>
      </c>
      <c r="AB33" s="23" t="str">
        <f t="shared" ca="1" si="16"/>
        <v/>
      </c>
      <c r="AC33" s="23" t="str">
        <f t="shared" ca="1" si="17"/>
        <v/>
      </c>
      <c r="AD33" s="23" t="str">
        <f t="shared" ca="1" si="17"/>
        <v/>
      </c>
      <c r="AE33" s="23" t="str">
        <f t="shared" ca="1" si="17"/>
        <v/>
      </c>
      <c r="AF33" s="23" t="str">
        <f t="shared" ca="1" si="17"/>
        <v/>
      </c>
      <c r="AG33" s="23" t="str">
        <f t="shared" ca="1" si="17"/>
        <v/>
      </c>
      <c r="AH33" s="23" t="str">
        <f t="shared" ca="1" si="17"/>
        <v/>
      </c>
      <c r="AI33" s="23" t="str">
        <f t="shared" ca="1" si="17"/>
        <v/>
      </c>
      <c r="AJ33" s="23" t="str">
        <f t="shared" ca="1" si="17"/>
        <v/>
      </c>
      <c r="AK33" s="23" t="str">
        <f t="shared" ca="1" si="17"/>
        <v/>
      </c>
      <c r="AL33" s="23" t="str">
        <f t="shared" ca="1" si="17"/>
        <v/>
      </c>
      <c r="AM33" s="23" t="str">
        <f t="shared" ca="1" si="18"/>
        <v/>
      </c>
      <c r="AN33" s="23" t="str">
        <f t="shared" ca="1" si="18"/>
        <v/>
      </c>
      <c r="AO33" s="23" t="str">
        <f t="shared" ca="1" si="18"/>
        <v/>
      </c>
      <c r="AP33" s="23" t="str">
        <f t="shared" ca="1" si="18"/>
        <v/>
      </c>
      <c r="AQ33" s="23" t="str">
        <f t="shared" ca="1" si="18"/>
        <v/>
      </c>
      <c r="AR33" s="23" t="str">
        <f t="shared" ca="1" si="18"/>
        <v/>
      </c>
      <c r="AS33" s="23" t="str">
        <f t="shared" ca="1" si="18"/>
        <v/>
      </c>
      <c r="AT33" s="23" t="str">
        <f t="shared" ca="1" si="18"/>
        <v/>
      </c>
      <c r="AU33" s="23" t="str">
        <f t="shared" ca="1" si="18"/>
        <v/>
      </c>
      <c r="AV33" s="23" t="str">
        <f t="shared" ca="1" si="18"/>
        <v/>
      </c>
      <c r="AW33" s="23" t="str">
        <f t="shared" ca="1" si="19"/>
        <v/>
      </c>
      <c r="AX33" s="23" t="str">
        <f t="shared" ca="1" si="19"/>
        <v/>
      </c>
      <c r="AY33" s="23" t="str">
        <f t="shared" ca="1" si="19"/>
        <v/>
      </c>
      <c r="AZ33" s="23" t="str">
        <f t="shared" ca="1" si="19"/>
        <v/>
      </c>
      <c r="BA33" s="23" t="str">
        <f t="shared" ca="1" si="19"/>
        <v/>
      </c>
      <c r="BB33" s="23" t="str">
        <f t="shared" ca="1" si="19"/>
        <v/>
      </c>
      <c r="BC33" s="23" t="str">
        <f t="shared" ca="1" si="19"/>
        <v/>
      </c>
      <c r="BD33" s="23" t="str">
        <f t="shared" ca="1" si="19"/>
        <v/>
      </c>
      <c r="BE33" s="23" t="str">
        <f t="shared" ca="1" si="19"/>
        <v/>
      </c>
      <c r="BF33" s="23" t="str">
        <f t="shared" ca="1" si="19"/>
        <v/>
      </c>
      <c r="BG33" s="23" t="str">
        <f t="shared" ca="1" si="20"/>
        <v/>
      </c>
      <c r="BH33" s="23" t="str">
        <f t="shared" ca="1" si="20"/>
        <v/>
      </c>
      <c r="BI33" s="23" t="str">
        <f t="shared" ca="1" si="20"/>
        <v/>
      </c>
      <c r="BJ33" s="23" t="str">
        <f t="shared" ca="1" si="20"/>
        <v/>
      </c>
      <c r="BK33" s="23" t="str">
        <f t="shared" ca="1" si="20"/>
        <v/>
      </c>
      <c r="BL33" s="23" t="str">
        <f t="shared" ca="1" si="20"/>
        <v/>
      </c>
    </row>
    <row r="34" spans="1:65" s="1" customFormat="1" ht="40.15" customHeight="1" x14ac:dyDescent="0.25">
      <c r="A34" s="9"/>
      <c r="B34" s="56" t="s">
        <v>14</v>
      </c>
      <c r="C34" s="52"/>
      <c r="D34" s="52"/>
      <c r="E34" s="53"/>
      <c r="F34" s="54"/>
      <c r="G34" s="55"/>
      <c r="H34" s="52"/>
      <c r="I34" s="23" t="str">
        <f t="shared" ca="1" si="15"/>
        <v/>
      </c>
      <c r="J34" s="23" t="str">
        <f t="shared" ca="1" si="15"/>
        <v/>
      </c>
      <c r="K34" s="23" t="str">
        <f t="shared" ca="1" si="15"/>
        <v/>
      </c>
      <c r="L34" s="23" t="str">
        <f t="shared" ca="1" si="15"/>
        <v/>
      </c>
      <c r="M34" s="23" t="str">
        <f t="shared" ca="1" si="15"/>
        <v/>
      </c>
      <c r="N34" s="23" t="str">
        <f t="shared" ca="1" si="15"/>
        <v/>
      </c>
      <c r="O34" s="23" t="str">
        <f t="shared" ca="1" si="15"/>
        <v/>
      </c>
      <c r="P34" s="23" t="str">
        <f t="shared" ca="1" si="15"/>
        <v/>
      </c>
      <c r="Q34" s="23" t="str">
        <f t="shared" ca="1" si="15"/>
        <v/>
      </c>
      <c r="R34" s="23" t="str">
        <f t="shared" ca="1" si="15"/>
        <v/>
      </c>
      <c r="S34" s="23" t="str">
        <f t="shared" ca="1" si="16"/>
        <v/>
      </c>
      <c r="T34" s="23" t="str">
        <f t="shared" ca="1" si="16"/>
        <v/>
      </c>
      <c r="U34" s="23" t="str">
        <f t="shared" ca="1" si="16"/>
        <v/>
      </c>
      <c r="V34" s="23" t="str">
        <f t="shared" ca="1" si="16"/>
        <v/>
      </c>
      <c r="W34" s="23" t="str">
        <f t="shared" ca="1" si="16"/>
        <v/>
      </c>
      <c r="X34" s="23" t="str">
        <f t="shared" ca="1" si="16"/>
        <v/>
      </c>
      <c r="Y34" s="23" t="str">
        <f t="shared" ca="1" si="16"/>
        <v/>
      </c>
      <c r="Z34" s="23" t="str">
        <f t="shared" ca="1" si="16"/>
        <v/>
      </c>
      <c r="AA34" s="23" t="str">
        <f t="shared" ca="1" si="16"/>
        <v/>
      </c>
      <c r="AB34" s="23" t="str">
        <f t="shared" ca="1" si="16"/>
        <v/>
      </c>
      <c r="AC34" s="23" t="str">
        <f t="shared" ca="1" si="17"/>
        <v/>
      </c>
      <c r="AD34" s="23" t="str">
        <f t="shared" ca="1" si="17"/>
        <v/>
      </c>
      <c r="AE34" s="23" t="str">
        <f t="shared" ca="1" si="17"/>
        <v/>
      </c>
      <c r="AF34" s="23" t="str">
        <f t="shared" ca="1" si="17"/>
        <v/>
      </c>
      <c r="AG34" s="23" t="str">
        <f t="shared" ca="1" si="17"/>
        <v/>
      </c>
      <c r="AH34" s="23" t="str">
        <f t="shared" ca="1" si="17"/>
        <v/>
      </c>
      <c r="AI34" s="23" t="str">
        <f t="shared" ca="1" si="17"/>
        <v/>
      </c>
      <c r="AJ34" s="23" t="str">
        <f t="shared" ca="1" si="17"/>
        <v/>
      </c>
      <c r="AK34" s="23" t="str">
        <f t="shared" ca="1" si="17"/>
        <v/>
      </c>
      <c r="AL34" s="23" t="str">
        <f t="shared" ca="1" si="17"/>
        <v/>
      </c>
      <c r="AM34" s="23" t="str">
        <f t="shared" ca="1" si="18"/>
        <v/>
      </c>
      <c r="AN34" s="23" t="str">
        <f t="shared" ca="1" si="18"/>
        <v/>
      </c>
      <c r="AO34" s="23" t="str">
        <f t="shared" ca="1" si="18"/>
        <v/>
      </c>
      <c r="AP34" s="23" t="str">
        <f t="shared" ca="1" si="18"/>
        <v/>
      </c>
      <c r="AQ34" s="23" t="str">
        <f t="shared" ca="1" si="18"/>
        <v/>
      </c>
      <c r="AR34" s="23" t="str">
        <f t="shared" ca="1" si="18"/>
        <v/>
      </c>
      <c r="AS34" s="23" t="str">
        <f t="shared" ca="1" si="18"/>
        <v/>
      </c>
      <c r="AT34" s="23" t="str">
        <f t="shared" ca="1" si="18"/>
        <v/>
      </c>
      <c r="AU34" s="23" t="str">
        <f t="shared" ca="1" si="18"/>
        <v/>
      </c>
      <c r="AV34" s="23" t="str">
        <f t="shared" ca="1" si="18"/>
        <v/>
      </c>
      <c r="AW34" s="23" t="str">
        <f t="shared" ca="1" si="19"/>
        <v/>
      </c>
      <c r="AX34" s="23" t="str">
        <f t="shared" ca="1" si="19"/>
        <v/>
      </c>
      <c r="AY34" s="23" t="str">
        <f t="shared" ca="1" si="19"/>
        <v/>
      </c>
      <c r="AZ34" s="23" t="str">
        <f t="shared" ca="1" si="19"/>
        <v/>
      </c>
      <c r="BA34" s="23" t="str">
        <f t="shared" ca="1" si="19"/>
        <v/>
      </c>
      <c r="BB34" s="23" t="str">
        <f t="shared" ca="1" si="19"/>
        <v/>
      </c>
      <c r="BC34" s="23" t="str">
        <f t="shared" ca="1" si="19"/>
        <v/>
      </c>
      <c r="BD34" s="23" t="str">
        <f t="shared" ca="1" si="19"/>
        <v/>
      </c>
      <c r="BE34" s="23" t="str">
        <f t="shared" ca="1" si="19"/>
        <v/>
      </c>
      <c r="BF34" s="23" t="str">
        <f t="shared" ca="1" si="19"/>
        <v/>
      </c>
      <c r="BG34" s="23" t="str">
        <f t="shared" ca="1" si="20"/>
        <v/>
      </c>
      <c r="BH34" s="23" t="str">
        <f t="shared" ca="1" si="20"/>
        <v/>
      </c>
      <c r="BI34" s="23" t="str">
        <f t="shared" ca="1" si="20"/>
        <v/>
      </c>
      <c r="BJ34" s="23" t="str">
        <f t="shared" ca="1" si="20"/>
        <v/>
      </c>
      <c r="BK34" s="23" t="str">
        <f t="shared" ca="1" si="20"/>
        <v/>
      </c>
      <c r="BL34" s="23" t="str">
        <f t="shared" ca="1" si="20"/>
        <v/>
      </c>
    </row>
    <row r="35" spans="1:65" s="1" customFormat="1" ht="40.15" customHeight="1" x14ac:dyDescent="0.25">
      <c r="A35" s="9"/>
      <c r="B35" s="56"/>
      <c r="C35" s="52"/>
      <c r="D35" s="52"/>
      <c r="E35" s="53"/>
      <c r="F35" s="54"/>
      <c r="G35" s="55"/>
      <c r="H35" s="52"/>
      <c r="I35" s="23" t="str">
        <f t="shared" ca="1" si="15"/>
        <v/>
      </c>
      <c r="J35" s="23" t="str">
        <f t="shared" ca="1" si="15"/>
        <v/>
      </c>
      <c r="K35" s="23" t="str">
        <f t="shared" ca="1" si="15"/>
        <v/>
      </c>
      <c r="L35" s="23" t="str">
        <f t="shared" ca="1" si="15"/>
        <v/>
      </c>
      <c r="M35" s="23" t="str">
        <f t="shared" ca="1" si="15"/>
        <v/>
      </c>
      <c r="N35" s="23" t="str">
        <f t="shared" ca="1" si="15"/>
        <v/>
      </c>
      <c r="O35" s="23" t="str">
        <f t="shared" ca="1" si="15"/>
        <v/>
      </c>
      <c r="P35" s="23" t="str">
        <f t="shared" ca="1" si="15"/>
        <v/>
      </c>
      <c r="Q35" s="23" t="str">
        <f t="shared" ca="1" si="15"/>
        <v/>
      </c>
      <c r="R35" s="23" t="str">
        <f t="shared" ca="1" si="15"/>
        <v/>
      </c>
      <c r="S35" s="23" t="str">
        <f t="shared" ca="1" si="16"/>
        <v/>
      </c>
      <c r="T35" s="23" t="str">
        <f t="shared" ca="1" si="16"/>
        <v/>
      </c>
      <c r="U35" s="23" t="str">
        <f t="shared" ca="1" si="16"/>
        <v/>
      </c>
      <c r="V35" s="23" t="str">
        <f t="shared" ca="1" si="16"/>
        <v/>
      </c>
      <c r="W35" s="23" t="str">
        <f t="shared" ca="1" si="16"/>
        <v/>
      </c>
      <c r="X35" s="23" t="str">
        <f t="shared" ca="1" si="16"/>
        <v/>
      </c>
      <c r="Y35" s="23" t="str">
        <f t="shared" ca="1" si="16"/>
        <v/>
      </c>
      <c r="Z35" s="23" t="str">
        <f t="shared" ca="1" si="16"/>
        <v/>
      </c>
      <c r="AA35" s="23" t="str">
        <f t="shared" ca="1" si="16"/>
        <v/>
      </c>
      <c r="AB35" s="23" t="str">
        <f t="shared" ca="1" si="16"/>
        <v/>
      </c>
      <c r="AC35" s="23" t="str">
        <f t="shared" ca="1" si="17"/>
        <v/>
      </c>
      <c r="AD35" s="23" t="str">
        <f t="shared" ca="1" si="17"/>
        <v/>
      </c>
      <c r="AE35" s="23" t="str">
        <f t="shared" ca="1" si="17"/>
        <v/>
      </c>
      <c r="AF35" s="23" t="str">
        <f t="shared" ca="1" si="17"/>
        <v/>
      </c>
      <c r="AG35" s="23" t="str">
        <f t="shared" ca="1" si="17"/>
        <v/>
      </c>
      <c r="AH35" s="23" t="str">
        <f t="shared" ca="1" si="17"/>
        <v/>
      </c>
      <c r="AI35" s="23" t="str">
        <f t="shared" ca="1" si="17"/>
        <v/>
      </c>
      <c r="AJ35" s="23" t="str">
        <f t="shared" ca="1" si="17"/>
        <v/>
      </c>
      <c r="AK35" s="23" t="str">
        <f t="shared" ca="1" si="17"/>
        <v/>
      </c>
      <c r="AL35" s="23" t="str">
        <f t="shared" ca="1" si="17"/>
        <v/>
      </c>
      <c r="AM35" s="23" t="str">
        <f t="shared" ca="1" si="18"/>
        <v/>
      </c>
      <c r="AN35" s="23" t="str">
        <f t="shared" ca="1" si="18"/>
        <v/>
      </c>
      <c r="AO35" s="23" t="str">
        <f t="shared" ca="1" si="18"/>
        <v/>
      </c>
      <c r="AP35" s="23" t="str">
        <f t="shared" ca="1" si="18"/>
        <v/>
      </c>
      <c r="AQ35" s="23" t="str">
        <f t="shared" ca="1" si="18"/>
        <v/>
      </c>
      <c r="AR35" s="23" t="str">
        <f t="shared" ca="1" si="18"/>
        <v/>
      </c>
      <c r="AS35" s="23" t="str">
        <f t="shared" ca="1" si="18"/>
        <v/>
      </c>
      <c r="AT35" s="23" t="str">
        <f t="shared" ca="1" si="18"/>
        <v/>
      </c>
      <c r="AU35" s="23" t="str">
        <f t="shared" ca="1" si="18"/>
        <v/>
      </c>
      <c r="AV35" s="23" t="str">
        <f t="shared" ca="1" si="18"/>
        <v/>
      </c>
      <c r="AW35" s="23" t="str">
        <f t="shared" ca="1" si="19"/>
        <v/>
      </c>
      <c r="AX35" s="23" t="str">
        <f t="shared" ca="1" si="19"/>
        <v/>
      </c>
      <c r="AY35" s="23" t="str">
        <f t="shared" ca="1" si="19"/>
        <v/>
      </c>
      <c r="AZ35" s="23" t="str">
        <f t="shared" ca="1" si="19"/>
        <v/>
      </c>
      <c r="BA35" s="23" t="str">
        <f t="shared" ca="1" si="19"/>
        <v/>
      </c>
      <c r="BB35" s="23" t="str">
        <f t="shared" ca="1" si="19"/>
        <v/>
      </c>
      <c r="BC35" s="23" t="str">
        <f t="shared" ca="1" si="19"/>
        <v/>
      </c>
      <c r="BD35" s="23" t="str">
        <f t="shared" ca="1" si="19"/>
        <v/>
      </c>
      <c r="BE35" s="23" t="str">
        <f t="shared" ca="1" si="19"/>
        <v/>
      </c>
      <c r="BF35" s="23" t="str">
        <f t="shared" ca="1" si="19"/>
        <v/>
      </c>
      <c r="BG35" s="23" t="str">
        <f t="shared" ca="1" si="20"/>
        <v/>
      </c>
      <c r="BH35" s="23" t="str">
        <f t="shared" ca="1" si="20"/>
        <v/>
      </c>
      <c r="BI35" s="23" t="str">
        <f t="shared" ca="1" si="20"/>
        <v/>
      </c>
      <c r="BJ35" s="23" t="str">
        <f t="shared" ca="1" si="20"/>
        <v/>
      </c>
      <c r="BK35" s="23" t="str">
        <f t="shared" ca="1" si="20"/>
        <v/>
      </c>
      <c r="BL35" s="23" t="str">
        <f t="shared" ca="1" si="20"/>
        <v/>
      </c>
      <c r="BM35" s="80"/>
    </row>
    <row r="36" spans="1:65" s="1" customFormat="1" ht="40.15" customHeight="1" x14ac:dyDescent="0.25">
      <c r="A36" s="10"/>
      <c r="B36" s="100" t="s">
        <v>18</v>
      </c>
      <c r="C36" s="52"/>
      <c r="D36" s="52"/>
      <c r="E36" s="66"/>
      <c r="F36" s="76"/>
      <c r="G36" s="77"/>
      <c r="H36" s="52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65" ht="30" customHeight="1" x14ac:dyDescent="0.25">
      <c r="D37" s="4"/>
      <c r="G37" s="11"/>
      <c r="H37" s="3"/>
    </row>
    <row r="38" spans="1:65" ht="30" customHeight="1" x14ac:dyDescent="0.25">
      <c r="D38" s="5"/>
    </row>
  </sheetData>
  <mergeCells count="8">
    <mergeCell ref="Y4:AB4"/>
    <mergeCell ref="AD4:AH4"/>
    <mergeCell ref="B2:H2"/>
    <mergeCell ref="I2:N2"/>
    <mergeCell ref="O2:T2"/>
    <mergeCell ref="I4:L4"/>
    <mergeCell ref="N4:Q4"/>
    <mergeCell ref="S4:W4"/>
  </mergeCells>
  <conditionalFormatting sqref="E9:E36">
    <cfRule type="dataBar" priority="6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{E8416024-553A-4557-9805-628B358112C1}</x14:id>
        </ext>
      </extLst>
    </cfRule>
  </conditionalFormatting>
  <conditionalFormatting sqref="I6:AM6">
    <cfRule type="expression" dxfId="17" priority="5">
      <formula>I$7&lt;=EOMONTH($I$7,0)</formula>
    </cfRule>
  </conditionalFormatting>
  <conditionalFormatting sqref="I6:BL6">
    <cfRule type="expression" dxfId="16" priority="3">
      <formula>AND(I$7&lt;=EOMONTH($I$7,1),I$7&gt;EOMONTH($I$7,0))</formula>
    </cfRule>
  </conditionalFormatting>
  <conditionalFormatting sqref="I7:BL36">
    <cfRule type="expression" dxfId="15" priority="2">
      <formula>AND(TODAY()&gt;=I$7,TODAY()&lt;J$7)</formula>
    </cfRule>
  </conditionalFormatting>
  <conditionalFormatting sqref="I10:BL35">
    <cfRule type="expression" dxfId="14" priority="8" stopIfTrue="1">
      <formula>AND($C10="Baixo risco",I$7&gt;=$F10,I$7&lt;=$F10+$G10-1)</formula>
    </cfRule>
    <cfRule type="expression" dxfId="13" priority="9" stopIfTrue="1">
      <formula>AND($C10="Alto risco",I$7&gt;=$F10,I$7&lt;=$F10+$G10-1)</formula>
    </cfRule>
    <cfRule type="expression" dxfId="12" priority="10" stopIfTrue="1">
      <formula>AND($C10="No prazo",I$7&gt;=$F10,I$7&lt;=$F10+$G10-1)</formula>
    </cfRule>
    <cfRule type="expression" dxfId="11" priority="11" stopIfTrue="1">
      <formula>AND($C10="Médio risco",I$7&gt;=$F10,I$7&lt;=$F10+$G10-1)</formula>
    </cfRule>
    <cfRule type="expression" dxfId="10" priority="12" stopIfTrue="1">
      <formula>AND(LEN($C10)=0,I$7&gt;=$F10,I$7&lt;=$F10+$G10-1)</formula>
    </cfRule>
  </conditionalFormatting>
  <conditionalFormatting sqref="J6:BL6">
    <cfRule type="expression" dxfId="9" priority="4">
      <formula>AND(J$7&lt;=EOMONTH($I$7,2),J$7&gt;EOMONTH($I$7,0),J$7&gt;EOMONTH($I$7,1))</formula>
    </cfRule>
  </conditionalFormatting>
  <dataValidations count="13">
    <dataValidation type="whole" operator="greaterThanOrEqual" allowBlank="1" showInputMessage="1" promptTitle="Incremento de rolagem" prompt="Alterar esse número rola a exibição do Gráfico de Gantt." sqref="C7" xr:uid="{662A47A0-7258-440E-8D71-BC54CBC9C651}">
      <formula1>0</formula1>
    </dataValidation>
    <dataValidation type="list" allowBlank="1" showInputMessage="1" showErrorMessage="1" sqref="C10 C12:C35" xr:uid="{12A8278F-D51D-4B98-A311-DB5FCD18D214}">
      <formula1>"Objetivo,Marco,No prazo, Baixo risco, Médio risco, Alto risco"</formula1>
    </dataValidation>
    <dataValidation type="list" allowBlank="1" showInputMessage="1" sqref="C11" xr:uid="{218D9212-09C8-4DA2-9014-64503951B170}">
      <formula1>"Objetivo,Marco,No prazo, Baixo risco, Médio risco, Alto risco"</formula1>
    </dataValidation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E4602294-DCCD-4B4D-A916-B5520C80CF80}"/>
    <dataValidation allowBlank="1" showInputMessage="1" showErrorMessage="1" prompt="Insira o Nome da Empresa na célula B4._x000a_Umas legendas nas células I4 a AC4. O rótulo Legenda está na célula G4." sqref="A4" xr:uid="{162198D7-BB96-453A-BB1C-71A472FB68F5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9BBE640D-6E85-4D9D-AF8E-654ECD5CE97D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D018285A-B1BB-4604-A67E-E25F048BC864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1544BB7A-7F3E-469D-9CB6-4B9BACED7ACE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737D7247-B514-41B2-94CC-2F538E17DE66}"/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6AB925DC-9BC9-4EC3-A848-25121289EECD}"/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1" xr:uid="{77315CCB-C571-42B0-8983-9C17BB04F75F}"/>
    <dataValidation allowBlank="1" showInputMessage="1" showErrorMessage="1" prompt="Esta linha marca o fim dos dados do marco de Gantt. NÃO insira nada nesta linha. _x000a_Para adicionar mais itens, insira novas linhas acima desta._x000a_" sqref="A36" xr:uid="{659FD5CB-B62B-4854-B8A9-29F1F70930AC}"/>
    <dataValidation allowBlank="1" showInputMessage="1" showErrorMessage="1" prompt="Esta é uma linha vazia" sqref="A35" xr:uid="{60F6BB2A-523D-41BA-B324-85E19FB9FF7E}"/>
  </dataValidations>
  <pageMargins left="0.5" right="0.5" top="0.5" bottom="0.5" header="0.3" footer="0.3"/>
  <pageSetup paperSize="9" fitToHeight="0" orientation="portrait" r:id="rId1"/>
  <ignoredErrors>
    <ignoredError sqref="F20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arra de Rolagem 1">
              <controlPr defaultSize="0" autoPict="0" altText="Barra de rolagem para percorrer a linha do tempo do projeto Ghantt.">
                <anchor moveWithCells="1">
                  <from>
                    <xdr:col>8</xdr:col>
                    <xdr:colOff>28575</xdr:colOff>
                    <xdr:row>7</xdr:row>
                    <xdr:rowOff>57150</xdr:rowOff>
                  </from>
                  <to>
                    <xdr:col>63</xdr:col>
                    <xdr:colOff>228600</xdr:colOff>
                    <xdr:row>7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416024-553A-4557-9805-628B358112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7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3" id="{A1EFF969-3CBB-4DB2-A4C9-47B01FE32C8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8625-911A-4DD3-B0BE-8E3C7AEA3578}">
  <dimension ref="A1:BP38"/>
  <sheetViews>
    <sheetView showGridLines="0" showRuler="0" zoomScaleNormal="100" zoomScalePageLayoutView="70" workbookViewId="0"/>
  </sheetViews>
  <sheetFormatPr defaultColWidth="8.85546875" defaultRowHeight="30" customHeight="1" x14ac:dyDescent="0.25"/>
  <cols>
    <col min="1" max="1" width="4.7109375" style="9" customWidth="1"/>
    <col min="2" max="2" width="30.7109375" customWidth="1"/>
    <col min="3" max="3" width="13.28515625" bestFit="1" customWidth="1"/>
    <col min="4" max="4" width="20.5703125" customWidth="1"/>
    <col min="5" max="5" width="15.7109375" customWidth="1"/>
    <col min="6" max="6" width="10.42578125" style="2" customWidth="1"/>
    <col min="7" max="7" width="10.42578125" customWidth="1"/>
    <col min="8" max="8" width="2.7109375" customWidth="1"/>
    <col min="9" max="64" width="3.5703125" customWidth="1"/>
    <col min="65" max="65" width="2.7109375" customWidth="1"/>
  </cols>
  <sheetData>
    <row r="1" spans="1:68" ht="25.15" customHeight="1" x14ac:dyDescent="0.25"/>
    <row r="2" spans="1:68" ht="49.9" customHeight="1" x14ac:dyDescent="0.25">
      <c r="A2" s="10"/>
      <c r="B2" s="136" t="s">
        <v>3</v>
      </c>
      <c r="C2" s="136"/>
      <c r="D2" s="136"/>
      <c r="E2" s="136"/>
      <c r="F2" s="136"/>
      <c r="G2" s="136"/>
      <c r="H2" s="136"/>
      <c r="I2" s="137"/>
      <c r="J2" s="137"/>
      <c r="K2" s="137"/>
      <c r="L2" s="137"/>
      <c r="M2" s="137"/>
      <c r="N2" s="137"/>
      <c r="O2" s="138"/>
      <c r="P2" s="138"/>
      <c r="Q2" s="138"/>
      <c r="R2" s="138"/>
      <c r="S2" s="138"/>
      <c r="T2" s="138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</row>
    <row r="3" spans="1:68" ht="19.899999999999999" customHeight="1" x14ac:dyDescent="0.25">
      <c r="A3" s="10"/>
      <c r="B3" s="59"/>
      <c r="C3" s="60"/>
      <c r="D3" s="61"/>
      <c r="E3" s="61"/>
      <c r="F3" s="62"/>
      <c r="G3" s="61"/>
      <c r="H3" s="61"/>
      <c r="I3" s="75"/>
      <c r="J3" s="1"/>
      <c r="K3" s="1"/>
      <c r="L3" s="1"/>
    </row>
    <row r="4" spans="1:68" ht="30" customHeight="1" x14ac:dyDescent="0.25">
      <c r="A4" s="10"/>
      <c r="B4" s="63" t="s">
        <v>4</v>
      </c>
      <c r="C4" s="64"/>
      <c r="D4" s="65"/>
      <c r="E4" s="66"/>
      <c r="F4" s="67"/>
      <c r="G4" s="68" t="s">
        <v>30</v>
      </c>
      <c r="H4" s="66"/>
      <c r="I4" s="130" t="s">
        <v>25</v>
      </c>
      <c r="J4" s="130"/>
      <c r="K4" s="130"/>
      <c r="L4" s="130"/>
      <c r="N4" s="131" t="s">
        <v>22</v>
      </c>
      <c r="O4" s="131"/>
      <c r="P4" s="131"/>
      <c r="Q4" s="131"/>
      <c r="S4" s="132" t="s">
        <v>23</v>
      </c>
      <c r="T4" s="132"/>
      <c r="U4" s="132"/>
      <c r="V4" s="132"/>
      <c r="W4" s="132"/>
      <c r="Y4" s="124" t="s">
        <v>24</v>
      </c>
      <c r="Z4" s="124"/>
      <c r="AA4" s="124"/>
      <c r="AB4" s="124"/>
      <c r="AD4" s="125" t="s">
        <v>32</v>
      </c>
      <c r="AE4" s="125"/>
      <c r="AF4" s="125"/>
      <c r="AG4" s="125"/>
      <c r="AH4" s="125"/>
    </row>
    <row r="5" spans="1:68" ht="30" customHeight="1" x14ac:dyDescent="0.25">
      <c r="A5" s="10"/>
      <c r="B5" s="69" t="s">
        <v>5</v>
      </c>
      <c r="C5" s="65"/>
      <c r="D5" s="65"/>
      <c r="E5" s="66"/>
      <c r="F5" s="67"/>
      <c r="G5" s="66"/>
      <c r="H5" s="66"/>
    </row>
    <row r="6" spans="1:68" ht="30" customHeight="1" x14ac:dyDescent="0.35">
      <c r="A6" s="10"/>
      <c r="B6" s="70" t="s">
        <v>6</v>
      </c>
      <c r="C6" s="71" cm="1">
        <f t="array" aca="1" ref="C6" ca="1">IFERROR(IF(MIN(Milestones43524[Início])=0,TODAY(),B11(Milestones43524[Início])),TODAY())</f>
        <v>46176</v>
      </c>
      <c r="D6" s="72"/>
      <c r="E6" s="66"/>
      <c r="F6" s="67"/>
      <c r="G6" s="66"/>
      <c r="H6" s="66"/>
      <c r="I6" s="82" t="str">
        <f ca="1">TEXT(I7,"mmmm")</f>
        <v>junho</v>
      </c>
      <c r="J6" s="82"/>
      <c r="K6" s="82"/>
      <c r="L6" s="82"/>
      <c r="M6" s="82"/>
      <c r="N6" s="82"/>
      <c r="O6" s="82"/>
      <c r="P6" s="82" t="str">
        <f ca="1">IF(TEXT(P7,"mmmm")=I6,"",TEXT(P7,"mmmm"))</f>
        <v/>
      </c>
      <c r="Q6" s="82"/>
      <c r="R6" s="82"/>
      <c r="S6" s="82"/>
      <c r="T6" s="82"/>
      <c r="U6" s="82"/>
      <c r="V6" s="82"/>
      <c r="W6" s="82" t="str">
        <f ca="1">IF(OR(TEXT(W7,"mmmm")=P6,TEXT(W7,"mmmm")=I6),"",TEXT(W7,"mmmm"))</f>
        <v/>
      </c>
      <c r="X6" s="82"/>
      <c r="Y6" s="82"/>
      <c r="Z6" s="82"/>
      <c r="AA6" s="82"/>
      <c r="AB6" s="82"/>
      <c r="AC6" s="82"/>
      <c r="AD6" s="82" t="str">
        <f ca="1">IF(OR(TEXT(AD7,"mmmm")=W6,TEXT(AD7,"mmmm")=P6,TEXT(AD7,"mmmm")=I6),"",TEXT(AD7,"mmmm"))</f>
        <v/>
      </c>
      <c r="AE6" s="82"/>
      <c r="AF6" s="82"/>
      <c r="AG6" s="82"/>
      <c r="AH6" s="82"/>
      <c r="AI6" s="82"/>
      <c r="AJ6" s="82"/>
      <c r="AK6" s="82" t="str">
        <f ca="1">IF(OR(TEXT(AK7,"mmmm")=AD6,TEXT(AK7,"mmmm")=W6,TEXT(AK7,"mmmm")=P6,TEXT(AK7,"mmmm")=I6),"",TEXT(AK7,"mmmm"))</f>
        <v>julho</v>
      </c>
      <c r="AL6" s="82"/>
      <c r="AM6" s="82"/>
      <c r="AN6" s="82"/>
      <c r="AO6" s="82"/>
      <c r="AP6" s="82"/>
      <c r="AQ6" s="82"/>
      <c r="AR6" s="82" t="str">
        <f ca="1">IF(OR(TEXT(AR7,"mmmm")=AK6,TEXT(AR7,"mmmm")=AD6,TEXT(AR7,"mmmm")=W6,TEXT(AR7,"mmmm")=P6),"",TEXT(AR7,"mmmm"))</f>
        <v/>
      </c>
      <c r="AS6" s="82"/>
      <c r="AT6" s="82"/>
      <c r="AU6" s="82"/>
      <c r="AV6" s="82"/>
      <c r="AW6" s="82"/>
      <c r="AX6" s="83"/>
      <c r="AY6" s="83" t="str">
        <f ca="1">IF(OR(TEXT(AY7,"mmmm")=AR6,TEXT(AY7,"mmmm")=AK6,TEXT(AY7,"mmmm")=AD6,TEXT(AY7,"mmmm")=W6),"",TEXT(AY7,"mmmm"))</f>
        <v/>
      </c>
      <c r="AZ6" s="83"/>
      <c r="BA6" s="83"/>
      <c r="BB6" s="84"/>
      <c r="BC6" s="81"/>
      <c r="BD6" s="81"/>
      <c r="BE6" s="81"/>
      <c r="BF6" s="81" t="str">
        <f ca="1">IF(OR(TEXT(BF7,"mmmm")=AY6,TEXT(BF7,"mmmm")=AR6,TEXT(BF7,"mmmm")=AK6,TEXT(BF7,"mmmm")=AD6),"",TEXT(BF7,"mmmm"))</f>
        <v/>
      </c>
      <c r="BG6" s="81"/>
      <c r="BH6" s="81"/>
      <c r="BI6" s="81"/>
      <c r="BJ6" s="81"/>
      <c r="BK6" s="81"/>
      <c r="BL6" s="81"/>
    </row>
    <row r="7" spans="1:68" ht="30" customHeight="1" x14ac:dyDescent="0.25">
      <c r="A7" s="10"/>
      <c r="B7" s="70" t="s">
        <v>7</v>
      </c>
      <c r="C7" s="73">
        <v>1</v>
      </c>
      <c r="D7" s="65"/>
      <c r="E7" s="66"/>
      <c r="F7" s="66"/>
      <c r="G7" s="66"/>
      <c r="H7" s="74"/>
      <c r="I7" s="106">
        <f ca="1">IFERROR(Início_do_projeto+Incremento_de_Rolagem,TODAY())</f>
        <v>46177</v>
      </c>
      <c r="J7" s="107">
        <f ca="1">I7+1</f>
        <v>46178</v>
      </c>
      <c r="K7" s="107">
        <f t="shared" ref="K7:AX7" ca="1" si="0">J7+1</f>
        <v>46179</v>
      </c>
      <c r="L7" s="107">
        <f t="shared" ca="1" si="0"/>
        <v>46180</v>
      </c>
      <c r="M7" s="107">
        <f t="shared" ca="1" si="0"/>
        <v>46181</v>
      </c>
      <c r="N7" s="107">
        <f t="shared" ca="1" si="0"/>
        <v>46182</v>
      </c>
      <c r="O7" s="108">
        <f t="shared" ca="1" si="0"/>
        <v>46183</v>
      </c>
      <c r="P7" s="107">
        <f ca="1">O7+1</f>
        <v>46184</v>
      </c>
      <c r="Q7" s="107">
        <f ca="1">P7+1</f>
        <v>46185</v>
      </c>
      <c r="R7" s="107">
        <f t="shared" ca="1" si="0"/>
        <v>46186</v>
      </c>
      <c r="S7" s="107">
        <f t="shared" ca="1" si="0"/>
        <v>46187</v>
      </c>
      <c r="T7" s="107">
        <f t="shared" ca="1" si="0"/>
        <v>46188</v>
      </c>
      <c r="U7" s="107">
        <f t="shared" ca="1" si="0"/>
        <v>46189</v>
      </c>
      <c r="V7" s="108">
        <f t="shared" ca="1" si="0"/>
        <v>46190</v>
      </c>
      <c r="W7" s="107">
        <f ca="1">V7+1</f>
        <v>46191</v>
      </c>
      <c r="X7" s="107">
        <f ca="1">W7+1</f>
        <v>46192</v>
      </c>
      <c r="Y7" s="107">
        <f t="shared" ca="1" si="0"/>
        <v>46193</v>
      </c>
      <c r="Z7" s="107">
        <f t="shared" ca="1" si="0"/>
        <v>46194</v>
      </c>
      <c r="AA7" s="107">
        <f t="shared" ca="1" si="0"/>
        <v>46195</v>
      </c>
      <c r="AB7" s="107">
        <f t="shared" ca="1" si="0"/>
        <v>46196</v>
      </c>
      <c r="AC7" s="108">
        <f t="shared" ca="1" si="0"/>
        <v>46197</v>
      </c>
      <c r="AD7" s="107">
        <f ca="1">AC7+1</f>
        <v>46198</v>
      </c>
      <c r="AE7" s="107">
        <f ca="1">AD7+1</f>
        <v>46199</v>
      </c>
      <c r="AF7" s="107">
        <f t="shared" ca="1" si="0"/>
        <v>46200</v>
      </c>
      <c r="AG7" s="107">
        <f t="shared" ca="1" si="0"/>
        <v>46201</v>
      </c>
      <c r="AH7" s="107">
        <f t="shared" ca="1" si="0"/>
        <v>46202</v>
      </c>
      <c r="AI7" s="107">
        <f t="shared" ca="1" si="0"/>
        <v>46203</v>
      </c>
      <c r="AJ7" s="108">
        <f t="shared" ca="1" si="0"/>
        <v>46204</v>
      </c>
      <c r="AK7" s="107">
        <f ca="1">AJ7+1</f>
        <v>46205</v>
      </c>
      <c r="AL7" s="107">
        <f ca="1">AK7+1</f>
        <v>46206</v>
      </c>
      <c r="AM7" s="107">
        <f t="shared" ca="1" si="0"/>
        <v>46207</v>
      </c>
      <c r="AN7" s="107">
        <f t="shared" ca="1" si="0"/>
        <v>46208</v>
      </c>
      <c r="AO7" s="107">
        <f t="shared" ca="1" si="0"/>
        <v>46209</v>
      </c>
      <c r="AP7" s="107">
        <f t="shared" ca="1" si="0"/>
        <v>46210</v>
      </c>
      <c r="AQ7" s="108">
        <f t="shared" ca="1" si="0"/>
        <v>46211</v>
      </c>
      <c r="AR7" s="107">
        <f ca="1">AQ7+1</f>
        <v>46212</v>
      </c>
      <c r="AS7" s="107">
        <f ca="1">AR7+1</f>
        <v>46213</v>
      </c>
      <c r="AT7" s="107">
        <f t="shared" ca="1" si="0"/>
        <v>46214</v>
      </c>
      <c r="AU7" s="107">
        <f t="shared" ca="1" si="0"/>
        <v>46215</v>
      </c>
      <c r="AV7" s="107">
        <f t="shared" ca="1" si="0"/>
        <v>46216</v>
      </c>
      <c r="AW7" s="107">
        <f t="shared" ca="1" si="0"/>
        <v>46217</v>
      </c>
      <c r="AX7" s="108">
        <f t="shared" ca="1" si="0"/>
        <v>46218</v>
      </c>
      <c r="AY7" s="107">
        <f ca="1">AX7+1</f>
        <v>46219</v>
      </c>
      <c r="AZ7" s="107">
        <f ca="1">AY7+1</f>
        <v>46220</v>
      </c>
      <c r="BA7" s="107">
        <f t="shared" ref="BA7:BE7" ca="1" si="1">AZ7+1</f>
        <v>46221</v>
      </c>
      <c r="BB7" s="107">
        <f t="shared" ca="1" si="1"/>
        <v>46222</v>
      </c>
      <c r="BC7" s="107">
        <f t="shared" ca="1" si="1"/>
        <v>46223</v>
      </c>
      <c r="BD7" s="107">
        <f t="shared" ca="1" si="1"/>
        <v>46224</v>
      </c>
      <c r="BE7" s="108">
        <f t="shared" ca="1" si="1"/>
        <v>46225</v>
      </c>
      <c r="BF7" s="107">
        <f ca="1">BE7+1</f>
        <v>46226</v>
      </c>
      <c r="BG7" s="107">
        <f ca="1">BF7+1</f>
        <v>46227</v>
      </c>
      <c r="BH7" s="107">
        <f t="shared" ref="BH7:BL7" ca="1" si="2">BG7+1</f>
        <v>46228</v>
      </c>
      <c r="BI7" s="107">
        <f t="shared" ca="1" si="2"/>
        <v>46229</v>
      </c>
      <c r="BJ7" s="107">
        <f t="shared" ca="1" si="2"/>
        <v>46230</v>
      </c>
      <c r="BK7" s="107">
        <f t="shared" ca="1" si="2"/>
        <v>46231</v>
      </c>
      <c r="BL7" s="108">
        <f t="shared" ca="1" si="2"/>
        <v>46232</v>
      </c>
    </row>
    <row r="8" spans="1:68" ht="19.899999999999999" customHeight="1" x14ac:dyDescent="0.25">
      <c r="A8" s="10"/>
      <c r="B8" s="65"/>
      <c r="C8" s="65"/>
      <c r="D8" s="65"/>
      <c r="E8" s="66"/>
      <c r="F8" s="66"/>
      <c r="G8" s="66"/>
      <c r="H8" s="74"/>
      <c r="I8" s="109"/>
      <c r="J8" s="110"/>
      <c r="K8" s="110"/>
      <c r="L8" s="110"/>
      <c r="M8" s="110"/>
      <c r="N8" s="110"/>
      <c r="O8" s="110"/>
      <c r="P8" s="111"/>
      <c r="Q8" s="110"/>
      <c r="R8" s="110"/>
      <c r="S8" s="110"/>
      <c r="T8" s="110"/>
      <c r="U8" s="110"/>
      <c r="V8" s="112"/>
      <c r="W8" s="110"/>
      <c r="X8" s="110"/>
      <c r="Y8" s="110"/>
      <c r="Z8" s="110"/>
      <c r="AA8" s="110"/>
      <c r="AB8" s="110"/>
      <c r="AC8" s="112"/>
      <c r="AD8" s="110"/>
      <c r="AE8" s="110"/>
      <c r="AF8" s="110"/>
      <c r="AG8" s="110"/>
      <c r="AH8" s="110"/>
      <c r="AI8" s="110"/>
      <c r="AJ8" s="112"/>
      <c r="AK8" s="110"/>
      <c r="AL8" s="110"/>
      <c r="AM8" s="110"/>
      <c r="AN8" s="110"/>
      <c r="AO8" s="110"/>
      <c r="AP8" s="110"/>
      <c r="AQ8" s="112"/>
      <c r="AR8" s="110"/>
      <c r="AS8" s="110"/>
      <c r="AT8" s="110"/>
      <c r="AU8" s="110"/>
      <c r="AV8" s="110"/>
      <c r="AW8" s="110"/>
      <c r="AX8" s="112"/>
      <c r="AY8" s="110"/>
      <c r="AZ8" s="110"/>
      <c r="BA8" s="110"/>
      <c r="BB8" s="110"/>
      <c r="BC8" s="110"/>
      <c r="BD8" s="110"/>
      <c r="BE8" s="112"/>
      <c r="BF8" s="110"/>
      <c r="BG8" s="110"/>
      <c r="BH8" s="110"/>
      <c r="BI8" s="110"/>
      <c r="BJ8" s="110"/>
      <c r="BK8" s="110"/>
      <c r="BL8" s="113"/>
    </row>
    <row r="9" spans="1:68" ht="40.15" customHeight="1" x14ac:dyDescent="0.25">
      <c r="A9" s="10"/>
      <c r="B9" s="104" t="s">
        <v>8</v>
      </c>
      <c r="C9" s="105" t="s">
        <v>19</v>
      </c>
      <c r="D9" s="105" t="s">
        <v>26</v>
      </c>
      <c r="E9" s="105" t="s">
        <v>28</v>
      </c>
      <c r="F9" s="105" t="s">
        <v>29</v>
      </c>
      <c r="G9" s="105" t="s">
        <v>31</v>
      </c>
      <c r="H9" s="79"/>
      <c r="I9" s="88" t="str">
        <f t="shared" ref="I9:BL9" ca="1" si="3">LEFT(TEXT(I7,"ddd"),1)</f>
        <v>q</v>
      </c>
      <c r="J9" s="88" t="str">
        <f t="shared" ca="1" si="3"/>
        <v>s</v>
      </c>
      <c r="K9" s="88" t="str">
        <f t="shared" ca="1" si="3"/>
        <v>s</v>
      </c>
      <c r="L9" s="88" t="str">
        <f t="shared" ca="1" si="3"/>
        <v>d</v>
      </c>
      <c r="M9" s="88" t="str">
        <f t="shared" ca="1" si="3"/>
        <v>s</v>
      </c>
      <c r="N9" s="88" t="str">
        <f t="shared" ca="1" si="3"/>
        <v>t</v>
      </c>
      <c r="O9" s="88" t="str">
        <f t="shared" ca="1" si="3"/>
        <v>q</v>
      </c>
      <c r="P9" s="88" t="str">
        <f t="shared" ca="1" si="3"/>
        <v>q</v>
      </c>
      <c r="Q9" s="88" t="str">
        <f t="shared" ca="1" si="3"/>
        <v>s</v>
      </c>
      <c r="R9" s="88" t="str">
        <f t="shared" ca="1" si="3"/>
        <v>s</v>
      </c>
      <c r="S9" s="88" t="str">
        <f t="shared" ca="1" si="3"/>
        <v>d</v>
      </c>
      <c r="T9" s="88" t="str">
        <f t="shared" ca="1" si="3"/>
        <v>s</v>
      </c>
      <c r="U9" s="88" t="str">
        <f t="shared" ca="1" si="3"/>
        <v>t</v>
      </c>
      <c r="V9" s="88" t="str">
        <f t="shared" ca="1" si="3"/>
        <v>q</v>
      </c>
      <c r="W9" s="88" t="str">
        <f t="shared" ca="1" si="3"/>
        <v>q</v>
      </c>
      <c r="X9" s="88" t="str">
        <f t="shared" ca="1" si="3"/>
        <v>s</v>
      </c>
      <c r="Y9" s="88" t="str">
        <f t="shared" ca="1" si="3"/>
        <v>s</v>
      </c>
      <c r="Z9" s="88" t="str">
        <f t="shared" ca="1" si="3"/>
        <v>d</v>
      </c>
      <c r="AA9" s="88" t="str">
        <f t="shared" ca="1" si="3"/>
        <v>s</v>
      </c>
      <c r="AB9" s="88" t="str">
        <f t="shared" ca="1" si="3"/>
        <v>t</v>
      </c>
      <c r="AC9" s="88" t="str">
        <f t="shared" ca="1" si="3"/>
        <v>q</v>
      </c>
      <c r="AD9" s="88" t="str">
        <f t="shared" ca="1" si="3"/>
        <v>q</v>
      </c>
      <c r="AE9" s="88" t="str">
        <f t="shared" ca="1" si="3"/>
        <v>s</v>
      </c>
      <c r="AF9" s="88" t="str">
        <f t="shared" ca="1" si="3"/>
        <v>s</v>
      </c>
      <c r="AG9" s="88" t="str">
        <f t="shared" ca="1" si="3"/>
        <v>d</v>
      </c>
      <c r="AH9" s="88" t="str">
        <f t="shared" ca="1" si="3"/>
        <v>s</v>
      </c>
      <c r="AI9" s="88" t="str">
        <f t="shared" ca="1" si="3"/>
        <v>t</v>
      </c>
      <c r="AJ9" s="88" t="str">
        <f t="shared" ca="1" si="3"/>
        <v>q</v>
      </c>
      <c r="AK9" s="88" t="str">
        <f t="shared" ca="1" si="3"/>
        <v>q</v>
      </c>
      <c r="AL9" s="88" t="str">
        <f t="shared" ca="1" si="3"/>
        <v>s</v>
      </c>
      <c r="AM9" s="88" t="str">
        <f t="shared" ca="1" si="3"/>
        <v>s</v>
      </c>
      <c r="AN9" s="88" t="str">
        <f t="shared" ca="1" si="3"/>
        <v>d</v>
      </c>
      <c r="AO9" s="88" t="str">
        <f t="shared" ca="1" si="3"/>
        <v>s</v>
      </c>
      <c r="AP9" s="88" t="str">
        <f t="shared" ca="1" si="3"/>
        <v>t</v>
      </c>
      <c r="AQ9" s="88" t="str">
        <f t="shared" ca="1" si="3"/>
        <v>q</v>
      </c>
      <c r="AR9" s="88" t="str">
        <f t="shared" ca="1" si="3"/>
        <v>q</v>
      </c>
      <c r="AS9" s="88" t="str">
        <f t="shared" ca="1" si="3"/>
        <v>s</v>
      </c>
      <c r="AT9" s="88" t="str">
        <f t="shared" ca="1" si="3"/>
        <v>s</v>
      </c>
      <c r="AU9" s="88" t="str">
        <f t="shared" ca="1" si="3"/>
        <v>d</v>
      </c>
      <c r="AV9" s="88" t="str">
        <f t="shared" ca="1" si="3"/>
        <v>s</v>
      </c>
      <c r="AW9" s="88" t="str">
        <f t="shared" ca="1" si="3"/>
        <v>t</v>
      </c>
      <c r="AX9" s="88" t="str">
        <f t="shared" ca="1" si="3"/>
        <v>q</v>
      </c>
      <c r="AY9" s="88" t="str">
        <f t="shared" ca="1" si="3"/>
        <v>q</v>
      </c>
      <c r="AZ9" s="88" t="str">
        <f t="shared" ca="1" si="3"/>
        <v>s</v>
      </c>
      <c r="BA9" s="88" t="str">
        <f t="shared" ca="1" si="3"/>
        <v>s</v>
      </c>
      <c r="BB9" s="88" t="str">
        <f t="shared" ca="1" si="3"/>
        <v>d</v>
      </c>
      <c r="BC9" s="88" t="str">
        <f t="shared" ca="1" si="3"/>
        <v>s</v>
      </c>
      <c r="BD9" s="88" t="str">
        <f t="shared" ca="1" si="3"/>
        <v>t</v>
      </c>
      <c r="BE9" s="88" t="str">
        <f t="shared" ca="1" si="3"/>
        <v>q</v>
      </c>
      <c r="BF9" s="88" t="str">
        <f t="shared" ca="1" si="3"/>
        <v>q</v>
      </c>
      <c r="BG9" s="88" t="str">
        <f t="shared" ca="1" si="3"/>
        <v>s</v>
      </c>
      <c r="BH9" s="88" t="str">
        <f t="shared" ca="1" si="3"/>
        <v>s</v>
      </c>
      <c r="BI9" s="88" t="str">
        <f t="shared" ca="1" si="3"/>
        <v>d</v>
      </c>
      <c r="BJ9" s="88" t="str">
        <f t="shared" ca="1" si="3"/>
        <v>s</v>
      </c>
      <c r="BK9" s="88" t="str">
        <f t="shared" ca="1" si="3"/>
        <v>t</v>
      </c>
      <c r="BL9" s="88" t="str">
        <f t="shared" ca="1" si="3"/>
        <v>q</v>
      </c>
    </row>
    <row r="10" spans="1:68" ht="30" hidden="1" customHeight="1" x14ac:dyDescent="0.25">
      <c r="B10" s="16"/>
      <c r="C10" s="13"/>
      <c r="D10" s="12"/>
      <c r="E10" s="13"/>
      <c r="F10" s="14"/>
      <c r="G10" s="15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</row>
    <row r="11" spans="1:68" s="1" customFormat="1" ht="40.15" customHeight="1" x14ac:dyDescent="0.25">
      <c r="A11" s="10"/>
      <c r="B11" s="98" t="s">
        <v>9</v>
      </c>
      <c r="C11" s="52"/>
      <c r="D11" s="52"/>
      <c r="E11" s="53"/>
      <c r="F11" s="54"/>
      <c r="G11" s="55"/>
      <c r="H11" s="52"/>
      <c r="I11" s="23" t="str">
        <f t="shared" ref="I11:X12" ca="1" si="4">IF(AND($C11="Objetivo",I$7&gt;=$F11,I$7&lt;=$F11+$G11-1),2,IF(AND($C11="Marco",I$7&gt;=$F11,I$7&lt;=$F11+$G11-1),1,""))</f>
        <v/>
      </c>
      <c r="J11" s="23" t="str">
        <f t="shared" ca="1" si="4"/>
        <v/>
      </c>
      <c r="K11" s="23" t="str">
        <f t="shared" ca="1" si="4"/>
        <v/>
      </c>
      <c r="L11" s="23" t="str">
        <f t="shared" ca="1" si="4"/>
        <v/>
      </c>
      <c r="M11" s="23" t="str">
        <f t="shared" ca="1" si="4"/>
        <v/>
      </c>
      <c r="N11" s="23" t="str">
        <f t="shared" ca="1" si="4"/>
        <v/>
      </c>
      <c r="O11" s="23" t="str">
        <f t="shared" ca="1" si="4"/>
        <v/>
      </c>
      <c r="P11" s="23" t="str">
        <f t="shared" ca="1" si="4"/>
        <v/>
      </c>
      <c r="Q11" s="23" t="str">
        <f t="shared" ca="1" si="4"/>
        <v/>
      </c>
      <c r="R11" s="23" t="str">
        <f t="shared" ca="1" si="4"/>
        <v/>
      </c>
      <c r="S11" s="23" t="str">
        <f t="shared" ca="1" si="4"/>
        <v/>
      </c>
      <c r="T11" s="23" t="str">
        <f t="shared" ca="1" si="4"/>
        <v/>
      </c>
      <c r="U11" s="23" t="str">
        <f t="shared" ca="1" si="4"/>
        <v/>
      </c>
      <c r="V11" s="23" t="str">
        <f t="shared" ca="1" si="4"/>
        <v/>
      </c>
      <c r="W11" s="23" t="str">
        <f t="shared" ca="1" si="4"/>
        <v/>
      </c>
      <c r="X11" s="23" t="str">
        <f t="shared" ca="1" si="4"/>
        <v/>
      </c>
      <c r="Y11" s="23" t="str">
        <f t="shared" ref="Y11:AN12" ca="1" si="5">IF(AND($C11="Objetivo",Y$7&gt;=$F11,Y$7&lt;=$F11+$G11-1),2,IF(AND($C11="Marco",Y$7&gt;=$F11,Y$7&lt;=$F11+$G11-1),1,""))</f>
        <v/>
      </c>
      <c r="Z11" s="23" t="str">
        <f t="shared" ca="1" si="5"/>
        <v/>
      </c>
      <c r="AA11" s="23" t="str">
        <f t="shared" ca="1" si="5"/>
        <v/>
      </c>
      <c r="AB11" s="23" t="str">
        <f t="shared" ca="1" si="5"/>
        <v/>
      </c>
      <c r="AC11" s="23" t="str">
        <f t="shared" ca="1" si="5"/>
        <v/>
      </c>
      <c r="AD11" s="23" t="str">
        <f t="shared" ca="1" si="5"/>
        <v/>
      </c>
      <c r="AE11" s="23" t="str">
        <f t="shared" ca="1" si="5"/>
        <v/>
      </c>
      <c r="AF11" s="23" t="str">
        <f t="shared" ca="1" si="5"/>
        <v/>
      </c>
      <c r="AG11" s="23" t="str">
        <f t="shared" ca="1" si="5"/>
        <v/>
      </c>
      <c r="AH11" s="23" t="str">
        <f t="shared" ca="1" si="5"/>
        <v/>
      </c>
      <c r="AI11" s="23" t="str">
        <f t="shared" ca="1" si="5"/>
        <v/>
      </c>
      <c r="AJ11" s="23" t="str">
        <f t="shared" ca="1" si="5"/>
        <v/>
      </c>
      <c r="AK11" s="23" t="str">
        <f t="shared" ca="1" si="5"/>
        <v/>
      </c>
      <c r="AL11" s="23" t="str">
        <f t="shared" ca="1" si="5"/>
        <v/>
      </c>
      <c r="AM11" s="23" t="str">
        <f t="shared" ca="1" si="5"/>
        <v/>
      </c>
      <c r="AN11" s="23" t="str">
        <f t="shared" ca="1" si="5"/>
        <v/>
      </c>
      <c r="AO11" s="23" t="str">
        <f t="shared" ref="AO11:BD12" ca="1" si="6">IF(AND($C11="Objetivo",AO$7&gt;=$F11,AO$7&lt;=$F11+$G11-1),2,IF(AND($C11="Marco",AO$7&gt;=$F11,AO$7&lt;=$F11+$G11-1),1,""))</f>
        <v/>
      </c>
      <c r="AP11" s="23" t="str">
        <f t="shared" ca="1" si="6"/>
        <v/>
      </c>
      <c r="AQ11" s="23" t="str">
        <f t="shared" ca="1" si="6"/>
        <v/>
      </c>
      <c r="AR11" s="23" t="str">
        <f t="shared" ca="1" si="6"/>
        <v/>
      </c>
      <c r="AS11" s="23" t="str">
        <f t="shared" ca="1" si="6"/>
        <v/>
      </c>
      <c r="AT11" s="23" t="str">
        <f t="shared" ca="1" si="6"/>
        <v/>
      </c>
      <c r="AU11" s="23" t="str">
        <f t="shared" ca="1" si="6"/>
        <v/>
      </c>
      <c r="AV11" s="23" t="str">
        <f t="shared" ca="1" si="6"/>
        <v/>
      </c>
      <c r="AW11" s="23" t="str">
        <f t="shared" ca="1" si="6"/>
        <v/>
      </c>
      <c r="AX11" s="23" t="str">
        <f t="shared" ca="1" si="6"/>
        <v/>
      </c>
      <c r="AY11" s="23" t="str">
        <f t="shared" ca="1" si="6"/>
        <v/>
      </c>
      <c r="AZ11" s="23" t="str">
        <f t="shared" ca="1" si="6"/>
        <v/>
      </c>
      <c r="BA11" s="23" t="str">
        <f t="shared" ca="1" si="6"/>
        <v/>
      </c>
      <c r="BB11" s="23" t="str">
        <f t="shared" ca="1" si="6"/>
        <v/>
      </c>
      <c r="BC11" s="23" t="str">
        <f t="shared" ca="1" si="6"/>
        <v/>
      </c>
      <c r="BD11" s="23" t="str">
        <f t="shared" ca="1" si="6"/>
        <v/>
      </c>
      <c r="BE11" s="23" t="str">
        <f t="shared" ref="BE11:BL12" ca="1" si="7">IF(AND($C11="Objetivo",BE$7&gt;=$F11,BE$7&lt;=$F11+$G11-1),2,IF(AND($C11="Marco",BE$7&gt;=$F11,BE$7&lt;=$F11+$G11-1),1,""))</f>
        <v/>
      </c>
      <c r="BF11" s="23" t="str">
        <f t="shared" ca="1" si="7"/>
        <v/>
      </c>
      <c r="BG11" s="23" t="str">
        <f t="shared" ca="1" si="7"/>
        <v/>
      </c>
      <c r="BH11" s="23" t="str">
        <f t="shared" ca="1" si="7"/>
        <v/>
      </c>
      <c r="BI11" s="23" t="str">
        <f t="shared" ca="1" si="7"/>
        <v/>
      </c>
      <c r="BJ11" s="23" t="str">
        <f t="shared" ca="1" si="7"/>
        <v/>
      </c>
      <c r="BK11" s="23" t="str">
        <f t="shared" ca="1" si="7"/>
        <v/>
      </c>
      <c r="BL11" s="23" t="str">
        <f t="shared" ca="1" si="7"/>
        <v/>
      </c>
      <c r="BP11" s="34"/>
    </row>
    <row r="12" spans="1:68" s="1" customFormat="1" ht="40.15" customHeight="1" x14ac:dyDescent="0.25">
      <c r="A12" s="10"/>
      <c r="B12" s="56" t="s">
        <v>10</v>
      </c>
      <c r="C12" s="52" t="s">
        <v>20</v>
      </c>
      <c r="D12" s="52" t="s">
        <v>27</v>
      </c>
      <c r="E12" s="53">
        <v>0.25</v>
      </c>
      <c r="F12" s="54">
        <f ca="1">TODAY()</f>
        <v>46176</v>
      </c>
      <c r="G12" s="55">
        <v>3</v>
      </c>
      <c r="H12" s="52"/>
      <c r="I12" s="23">
        <f t="shared" ref="I12:I35" ca="1" si="8">IF(AND($C12="Objetivo",I$7&gt;=$F12,I$7&lt;=$F12+$G12-1),2,IF(AND($C12="Marco",I$7&gt;=$F12,I$7&lt;=$F12+$G12-1),1,""))</f>
        <v>2</v>
      </c>
      <c r="J12" s="23">
        <f t="shared" ca="1" si="4"/>
        <v>2</v>
      </c>
      <c r="K12" s="23" t="str">
        <f t="shared" ca="1" si="4"/>
        <v/>
      </c>
      <c r="L12" s="23" t="str">
        <f t="shared" ca="1" si="4"/>
        <v/>
      </c>
      <c r="M12" s="23" t="str">
        <f t="shared" ca="1" si="4"/>
        <v/>
      </c>
      <c r="N12" s="23" t="str">
        <f t="shared" ca="1" si="4"/>
        <v/>
      </c>
      <c r="O12" s="23" t="str">
        <f t="shared" ca="1" si="4"/>
        <v/>
      </c>
      <c r="P12" s="23" t="str">
        <f t="shared" ca="1" si="4"/>
        <v/>
      </c>
      <c r="Q12" s="23" t="str">
        <f t="shared" ca="1" si="4"/>
        <v/>
      </c>
      <c r="R12" s="23" t="str">
        <f t="shared" ca="1" si="4"/>
        <v/>
      </c>
      <c r="S12" s="23" t="str">
        <f t="shared" ca="1" si="4"/>
        <v/>
      </c>
      <c r="T12" s="23" t="str">
        <f t="shared" ca="1" si="4"/>
        <v/>
      </c>
      <c r="U12" s="23" t="str">
        <f t="shared" ca="1" si="4"/>
        <v/>
      </c>
      <c r="V12" s="23" t="str">
        <f t="shared" ca="1" si="4"/>
        <v/>
      </c>
      <c r="W12" s="23" t="str">
        <f t="shared" ca="1" si="4"/>
        <v/>
      </c>
      <c r="X12" s="23" t="str">
        <f t="shared" ca="1" si="4"/>
        <v/>
      </c>
      <c r="Y12" s="23" t="str">
        <f t="shared" ca="1" si="5"/>
        <v/>
      </c>
      <c r="Z12" s="23" t="str">
        <f t="shared" ca="1" si="5"/>
        <v/>
      </c>
      <c r="AA12" s="23" t="str">
        <f t="shared" ca="1" si="5"/>
        <v/>
      </c>
      <c r="AB12" s="23" t="str">
        <f t="shared" ca="1" si="5"/>
        <v/>
      </c>
      <c r="AC12" s="23" t="str">
        <f t="shared" ca="1" si="5"/>
        <v/>
      </c>
      <c r="AD12" s="23" t="str">
        <f t="shared" ca="1" si="5"/>
        <v/>
      </c>
      <c r="AE12" s="23" t="str">
        <f t="shared" ca="1" si="5"/>
        <v/>
      </c>
      <c r="AF12" s="23" t="str">
        <f t="shared" ca="1" si="5"/>
        <v/>
      </c>
      <c r="AG12" s="23" t="str">
        <f t="shared" ca="1" si="5"/>
        <v/>
      </c>
      <c r="AH12" s="23" t="str">
        <f t="shared" ca="1" si="5"/>
        <v/>
      </c>
      <c r="AI12" s="23" t="str">
        <f t="shared" ca="1" si="5"/>
        <v/>
      </c>
      <c r="AJ12" s="23" t="str">
        <f t="shared" ca="1" si="5"/>
        <v/>
      </c>
      <c r="AK12" s="23" t="str">
        <f t="shared" ca="1" si="5"/>
        <v/>
      </c>
      <c r="AL12" s="23" t="str">
        <f t="shared" ca="1" si="5"/>
        <v/>
      </c>
      <c r="AM12" s="23" t="str">
        <f t="shared" ca="1" si="5"/>
        <v/>
      </c>
      <c r="AN12" s="23" t="str">
        <f t="shared" ca="1" si="5"/>
        <v/>
      </c>
      <c r="AO12" s="23" t="str">
        <f t="shared" ca="1" si="6"/>
        <v/>
      </c>
      <c r="AP12" s="23" t="str">
        <f t="shared" ca="1" si="6"/>
        <v/>
      </c>
      <c r="AQ12" s="23" t="str">
        <f t="shared" ca="1" si="6"/>
        <v/>
      </c>
      <c r="AR12" s="23" t="str">
        <f t="shared" ca="1" si="6"/>
        <v/>
      </c>
      <c r="AS12" s="23" t="str">
        <f t="shared" ca="1" si="6"/>
        <v/>
      </c>
      <c r="AT12" s="23" t="str">
        <f t="shared" ca="1" si="6"/>
        <v/>
      </c>
      <c r="AU12" s="23" t="str">
        <f t="shared" ca="1" si="6"/>
        <v/>
      </c>
      <c r="AV12" s="23" t="str">
        <f t="shared" ca="1" si="6"/>
        <v/>
      </c>
      <c r="AW12" s="23" t="str">
        <f t="shared" ca="1" si="6"/>
        <v/>
      </c>
      <c r="AX12" s="23" t="str">
        <f t="shared" ca="1" si="6"/>
        <v/>
      </c>
      <c r="AY12" s="23" t="str">
        <f t="shared" ca="1" si="6"/>
        <v/>
      </c>
      <c r="AZ12" s="23" t="str">
        <f t="shared" ca="1" si="6"/>
        <v/>
      </c>
      <c r="BA12" s="23" t="str">
        <f t="shared" ca="1" si="6"/>
        <v/>
      </c>
      <c r="BB12" s="23" t="str">
        <f t="shared" ca="1" si="6"/>
        <v/>
      </c>
      <c r="BC12" s="23" t="str">
        <f t="shared" ca="1" si="6"/>
        <v/>
      </c>
      <c r="BD12" s="23" t="str">
        <f t="shared" ca="1" si="6"/>
        <v/>
      </c>
      <c r="BE12" s="23" t="str">
        <f t="shared" ca="1" si="7"/>
        <v/>
      </c>
      <c r="BF12" s="23" t="str">
        <f t="shared" ca="1" si="7"/>
        <v/>
      </c>
      <c r="BG12" s="23" t="str">
        <f t="shared" ca="1" si="7"/>
        <v/>
      </c>
      <c r="BH12" s="23" t="str">
        <f t="shared" ca="1" si="7"/>
        <v/>
      </c>
      <c r="BI12" s="23" t="str">
        <f t="shared" ca="1" si="7"/>
        <v/>
      </c>
      <c r="BJ12" s="23" t="str">
        <f t="shared" ca="1" si="7"/>
        <v/>
      </c>
      <c r="BK12" s="23" t="str">
        <f t="shared" ca="1" si="7"/>
        <v/>
      </c>
      <c r="BL12" s="23" t="str">
        <f t="shared" ca="1" si="7"/>
        <v/>
      </c>
    </row>
    <row r="13" spans="1:68" s="1" customFormat="1" ht="40.15" customHeight="1" x14ac:dyDescent="0.25">
      <c r="A13" s="10"/>
      <c r="B13" s="56" t="s">
        <v>11</v>
      </c>
      <c r="C13" s="52" t="s">
        <v>21</v>
      </c>
      <c r="D13" s="52"/>
      <c r="E13" s="53"/>
      <c r="F13" s="54">
        <f ca="1">TODAY()+5</f>
        <v>46181</v>
      </c>
      <c r="G13" s="55">
        <v>1</v>
      </c>
      <c r="H13" s="52"/>
      <c r="I13" s="23" t="str">
        <f t="shared" ca="1" si="8"/>
        <v/>
      </c>
      <c r="J13" s="23" t="str">
        <f t="shared" ref="J13:S22" ca="1" si="9">IF(AND($C13="Objetivo",J$7&gt;=$F13,J$7&lt;=$F13+$G13-1),2,IF(AND($C13="Marco",J$7&gt;=$F13,J$7&lt;=$F13+$G13-1),1,""))</f>
        <v/>
      </c>
      <c r="K13" s="23" t="str">
        <f t="shared" ca="1" si="9"/>
        <v/>
      </c>
      <c r="L13" s="23" t="str">
        <f t="shared" ca="1" si="9"/>
        <v/>
      </c>
      <c r="M13" s="23">
        <f t="shared" ca="1" si="9"/>
        <v>1</v>
      </c>
      <c r="N13" s="23" t="str">
        <f t="shared" ca="1" si="9"/>
        <v/>
      </c>
      <c r="O13" s="23" t="str">
        <f t="shared" ca="1" si="9"/>
        <v/>
      </c>
      <c r="P13" s="23" t="str">
        <f t="shared" ca="1" si="9"/>
        <v/>
      </c>
      <c r="Q13" s="23" t="str">
        <f t="shared" ca="1" si="9"/>
        <v/>
      </c>
      <c r="R13" s="23" t="str">
        <f t="shared" ca="1" si="9"/>
        <v/>
      </c>
      <c r="S13" s="23" t="str">
        <f t="shared" ca="1" si="9"/>
        <v/>
      </c>
      <c r="T13" s="23" t="str">
        <f t="shared" ref="T13:AC22" ca="1" si="10">IF(AND($C13="Objetivo",T$7&gt;=$F13,T$7&lt;=$F13+$G13-1),2,IF(AND($C13="Marco",T$7&gt;=$F13,T$7&lt;=$F13+$G13-1),1,""))</f>
        <v/>
      </c>
      <c r="U13" s="23" t="str">
        <f t="shared" ca="1" si="10"/>
        <v/>
      </c>
      <c r="V13" s="23" t="str">
        <f t="shared" ca="1" si="10"/>
        <v/>
      </c>
      <c r="W13" s="23" t="str">
        <f t="shared" ca="1" si="10"/>
        <v/>
      </c>
      <c r="X13" s="23" t="str">
        <f t="shared" ca="1" si="10"/>
        <v/>
      </c>
      <c r="Y13" s="23" t="str">
        <f t="shared" ca="1" si="10"/>
        <v/>
      </c>
      <c r="Z13" s="23" t="str">
        <f t="shared" ca="1" si="10"/>
        <v/>
      </c>
      <c r="AA13" s="23" t="str">
        <f t="shared" ca="1" si="10"/>
        <v/>
      </c>
      <c r="AB13" s="23" t="str">
        <f t="shared" ca="1" si="10"/>
        <v/>
      </c>
      <c r="AC13" s="23" t="str">
        <f t="shared" ca="1" si="10"/>
        <v/>
      </c>
      <c r="AD13" s="23" t="str">
        <f t="shared" ref="AD13:AM22" ca="1" si="11">IF(AND($C13="Objetivo",AD$7&gt;=$F13,AD$7&lt;=$F13+$G13-1),2,IF(AND($C13="Marco",AD$7&gt;=$F13,AD$7&lt;=$F13+$G13-1),1,""))</f>
        <v/>
      </c>
      <c r="AE13" s="23" t="str">
        <f t="shared" ca="1" si="11"/>
        <v/>
      </c>
      <c r="AF13" s="23" t="str">
        <f t="shared" ca="1" si="11"/>
        <v/>
      </c>
      <c r="AG13" s="23" t="str">
        <f t="shared" ca="1" si="11"/>
        <v/>
      </c>
      <c r="AH13" s="23" t="str">
        <f t="shared" ca="1" si="11"/>
        <v/>
      </c>
      <c r="AI13" s="23" t="str">
        <f t="shared" ca="1" si="11"/>
        <v/>
      </c>
      <c r="AJ13" s="23" t="str">
        <f t="shared" ca="1" si="11"/>
        <v/>
      </c>
      <c r="AK13" s="23" t="str">
        <f t="shared" ca="1" si="11"/>
        <v/>
      </c>
      <c r="AL13" s="23" t="str">
        <f t="shared" ca="1" si="11"/>
        <v/>
      </c>
      <c r="AM13" s="23" t="str">
        <f t="shared" ca="1" si="11"/>
        <v/>
      </c>
      <c r="AN13" s="23" t="str">
        <f t="shared" ref="AN13:AW22" ca="1" si="12">IF(AND($C13="Objetivo",AN$7&gt;=$F13,AN$7&lt;=$F13+$G13-1),2,IF(AND($C13="Marco",AN$7&gt;=$F13,AN$7&lt;=$F13+$G13-1),1,""))</f>
        <v/>
      </c>
      <c r="AO13" s="23" t="str">
        <f t="shared" ca="1" si="12"/>
        <v/>
      </c>
      <c r="AP13" s="23" t="str">
        <f t="shared" ca="1" si="12"/>
        <v/>
      </c>
      <c r="AQ13" s="23" t="str">
        <f t="shared" ca="1" si="12"/>
        <v/>
      </c>
      <c r="AR13" s="23" t="str">
        <f t="shared" ca="1" si="12"/>
        <v/>
      </c>
      <c r="AS13" s="23" t="str">
        <f t="shared" ca="1" si="12"/>
        <v/>
      </c>
      <c r="AT13" s="23" t="str">
        <f t="shared" ca="1" si="12"/>
        <v/>
      </c>
      <c r="AU13" s="23" t="str">
        <f t="shared" ca="1" si="12"/>
        <v/>
      </c>
      <c r="AV13" s="23" t="str">
        <f t="shared" ca="1" si="12"/>
        <v/>
      </c>
      <c r="AW13" s="23" t="str">
        <f t="shared" ca="1" si="12"/>
        <v/>
      </c>
      <c r="AX13" s="23" t="str">
        <f t="shared" ref="AX13:BL22" ca="1" si="13">IF(AND($C13="Objetivo",AX$7&gt;=$F13,AX$7&lt;=$F13+$G13-1),2,IF(AND($C13="Marco",AX$7&gt;=$F13,AX$7&lt;=$F13+$G13-1),1,""))</f>
        <v/>
      </c>
      <c r="AY13" s="23" t="str">
        <f t="shared" ca="1" si="13"/>
        <v/>
      </c>
      <c r="AZ13" s="23" t="str">
        <f t="shared" ca="1" si="13"/>
        <v/>
      </c>
      <c r="BA13" s="23" t="str">
        <f t="shared" ca="1" si="13"/>
        <v/>
      </c>
      <c r="BB13" s="23" t="str">
        <f t="shared" ca="1" si="13"/>
        <v/>
      </c>
      <c r="BC13" s="23" t="str">
        <f t="shared" ca="1" si="13"/>
        <v/>
      </c>
      <c r="BD13" s="23" t="str">
        <f t="shared" ca="1" si="13"/>
        <v/>
      </c>
      <c r="BE13" s="23" t="str">
        <f t="shared" ca="1" si="13"/>
        <v/>
      </c>
      <c r="BF13" s="23" t="str">
        <f t="shared" ca="1" si="13"/>
        <v/>
      </c>
      <c r="BG13" s="23" t="str">
        <f t="shared" ca="1" si="13"/>
        <v/>
      </c>
      <c r="BH13" s="23" t="str">
        <f t="shared" ca="1" si="13"/>
        <v/>
      </c>
      <c r="BI13" s="23" t="str">
        <f t="shared" ca="1" si="13"/>
        <v/>
      </c>
      <c r="BJ13" s="23" t="str">
        <f t="shared" ca="1" si="13"/>
        <v/>
      </c>
      <c r="BK13" s="23" t="str">
        <f t="shared" ca="1" si="13"/>
        <v/>
      </c>
      <c r="BL13" s="23" t="str">
        <f t="shared" ca="1" si="13"/>
        <v/>
      </c>
    </row>
    <row r="14" spans="1:68" s="1" customFormat="1" ht="40.15" customHeight="1" x14ac:dyDescent="0.25">
      <c r="A14" s="9"/>
      <c r="B14" s="56" t="s">
        <v>12</v>
      </c>
      <c r="C14" s="52" t="s">
        <v>22</v>
      </c>
      <c r="D14" s="52"/>
      <c r="E14" s="53">
        <v>0.5</v>
      </c>
      <c r="F14" s="54">
        <f ca="1">F12-3</f>
        <v>46173</v>
      </c>
      <c r="G14" s="55">
        <v>10</v>
      </c>
      <c r="H14" s="52"/>
      <c r="I14" s="23" t="str">
        <f t="shared" ca="1" si="8"/>
        <v/>
      </c>
      <c r="J14" s="23" t="str">
        <f t="shared" ca="1" si="9"/>
        <v/>
      </c>
      <c r="K14" s="23" t="str">
        <f t="shared" ca="1" si="9"/>
        <v/>
      </c>
      <c r="L14" s="23" t="str">
        <f t="shared" ca="1" si="9"/>
        <v/>
      </c>
      <c r="M14" s="23" t="str">
        <f t="shared" ca="1" si="9"/>
        <v/>
      </c>
      <c r="N14" s="23" t="str">
        <f t="shared" ca="1" si="9"/>
        <v/>
      </c>
      <c r="O14" s="23" t="str">
        <f t="shared" ca="1" si="9"/>
        <v/>
      </c>
      <c r="P14" s="23" t="str">
        <f t="shared" ca="1" si="9"/>
        <v/>
      </c>
      <c r="Q14" s="23" t="str">
        <f t="shared" ca="1" si="9"/>
        <v/>
      </c>
      <c r="R14" s="23" t="str">
        <f t="shared" ca="1" si="9"/>
        <v/>
      </c>
      <c r="S14" s="23" t="str">
        <f t="shared" ca="1" si="9"/>
        <v/>
      </c>
      <c r="T14" s="23" t="str">
        <f t="shared" ca="1" si="10"/>
        <v/>
      </c>
      <c r="U14" s="23" t="str">
        <f t="shared" ca="1" si="10"/>
        <v/>
      </c>
      <c r="V14" s="23" t="str">
        <f t="shared" ca="1" si="10"/>
        <v/>
      </c>
      <c r="W14" s="23" t="str">
        <f t="shared" ca="1" si="10"/>
        <v/>
      </c>
      <c r="X14" s="23" t="str">
        <f t="shared" ca="1" si="10"/>
        <v/>
      </c>
      <c r="Y14" s="23" t="str">
        <f t="shared" ca="1" si="10"/>
        <v/>
      </c>
      <c r="Z14" s="23" t="str">
        <f t="shared" ca="1" si="10"/>
        <v/>
      </c>
      <c r="AA14" s="23" t="str">
        <f t="shared" ca="1" si="10"/>
        <v/>
      </c>
      <c r="AB14" s="23" t="str">
        <f t="shared" ca="1" si="10"/>
        <v/>
      </c>
      <c r="AC14" s="23" t="str">
        <f t="shared" ca="1" si="10"/>
        <v/>
      </c>
      <c r="AD14" s="23" t="str">
        <f t="shared" ca="1" si="11"/>
        <v/>
      </c>
      <c r="AE14" s="23" t="str">
        <f t="shared" ca="1" si="11"/>
        <v/>
      </c>
      <c r="AF14" s="23" t="str">
        <f t="shared" ca="1" si="11"/>
        <v/>
      </c>
      <c r="AG14" s="23" t="str">
        <f t="shared" ca="1" si="11"/>
        <v/>
      </c>
      <c r="AH14" s="23" t="str">
        <f t="shared" ca="1" si="11"/>
        <v/>
      </c>
      <c r="AI14" s="23" t="str">
        <f t="shared" ca="1" si="11"/>
        <v/>
      </c>
      <c r="AJ14" s="23" t="str">
        <f t="shared" ca="1" si="11"/>
        <v/>
      </c>
      <c r="AK14" s="23" t="str">
        <f t="shared" ca="1" si="11"/>
        <v/>
      </c>
      <c r="AL14" s="23" t="str">
        <f t="shared" ca="1" si="11"/>
        <v/>
      </c>
      <c r="AM14" s="23" t="str">
        <f t="shared" ca="1" si="11"/>
        <v/>
      </c>
      <c r="AN14" s="23" t="str">
        <f t="shared" ca="1" si="12"/>
        <v/>
      </c>
      <c r="AO14" s="23" t="str">
        <f t="shared" ca="1" si="12"/>
        <v/>
      </c>
      <c r="AP14" s="23" t="str">
        <f t="shared" ca="1" si="12"/>
        <v/>
      </c>
      <c r="AQ14" s="23" t="str">
        <f t="shared" ca="1" si="12"/>
        <v/>
      </c>
      <c r="AR14" s="23" t="str">
        <f t="shared" ca="1" si="12"/>
        <v/>
      </c>
      <c r="AS14" s="23" t="str">
        <f t="shared" ca="1" si="12"/>
        <v/>
      </c>
      <c r="AT14" s="23" t="str">
        <f t="shared" ca="1" si="12"/>
        <v/>
      </c>
      <c r="AU14" s="23" t="str">
        <f t="shared" ca="1" si="12"/>
        <v/>
      </c>
      <c r="AV14" s="23" t="str">
        <f t="shared" ca="1" si="12"/>
        <v/>
      </c>
      <c r="AW14" s="23" t="str">
        <f t="shared" ca="1" si="12"/>
        <v/>
      </c>
      <c r="AX14" s="23" t="str">
        <f t="shared" ca="1" si="13"/>
        <v/>
      </c>
      <c r="AY14" s="23" t="str">
        <f t="shared" ca="1" si="13"/>
        <v/>
      </c>
      <c r="AZ14" s="23" t="str">
        <f t="shared" ca="1" si="13"/>
        <v/>
      </c>
      <c r="BA14" s="23" t="str">
        <f t="shared" ca="1" si="13"/>
        <v/>
      </c>
      <c r="BB14" s="23" t="str">
        <f t="shared" ca="1" si="13"/>
        <v/>
      </c>
      <c r="BC14" s="23" t="str">
        <f t="shared" ca="1" si="13"/>
        <v/>
      </c>
      <c r="BD14" s="23" t="str">
        <f t="shared" ca="1" si="13"/>
        <v/>
      </c>
      <c r="BE14" s="23" t="str">
        <f t="shared" ca="1" si="13"/>
        <v/>
      </c>
      <c r="BF14" s="23" t="str">
        <f t="shared" ca="1" si="13"/>
        <v/>
      </c>
      <c r="BG14" s="23" t="str">
        <f t="shared" ca="1" si="13"/>
        <v/>
      </c>
      <c r="BH14" s="23" t="str">
        <f t="shared" ca="1" si="13"/>
        <v/>
      </c>
      <c r="BI14" s="23" t="str">
        <f t="shared" ca="1" si="13"/>
        <v/>
      </c>
      <c r="BJ14" s="23" t="str">
        <f t="shared" ca="1" si="13"/>
        <v/>
      </c>
      <c r="BK14" s="23" t="str">
        <f t="shared" ca="1" si="13"/>
        <v/>
      </c>
      <c r="BL14" s="23" t="str">
        <f t="shared" ca="1" si="13"/>
        <v/>
      </c>
    </row>
    <row r="15" spans="1:68" s="1" customFormat="1" ht="40.15" customHeight="1" x14ac:dyDescent="0.25">
      <c r="A15" s="9"/>
      <c r="B15" s="56" t="s">
        <v>13</v>
      </c>
      <c r="C15" s="52" t="s">
        <v>21</v>
      </c>
      <c r="D15" s="52"/>
      <c r="E15" s="53"/>
      <c r="F15" s="54">
        <f ca="1">F12+20</f>
        <v>46196</v>
      </c>
      <c r="G15" s="55">
        <v>1</v>
      </c>
      <c r="H15" s="52"/>
      <c r="I15" s="23" t="str">
        <f t="shared" ca="1" si="8"/>
        <v/>
      </c>
      <c r="J15" s="23" t="str">
        <f t="shared" ca="1" si="9"/>
        <v/>
      </c>
      <c r="K15" s="23" t="str">
        <f t="shared" ca="1" si="9"/>
        <v/>
      </c>
      <c r="L15" s="23" t="str">
        <f t="shared" ca="1" si="9"/>
        <v/>
      </c>
      <c r="M15" s="23" t="str">
        <f t="shared" ca="1" si="9"/>
        <v/>
      </c>
      <c r="N15" s="23" t="str">
        <f t="shared" ca="1" si="9"/>
        <v/>
      </c>
      <c r="O15" s="23" t="str">
        <f t="shared" ca="1" si="9"/>
        <v/>
      </c>
      <c r="P15" s="23" t="str">
        <f t="shared" ca="1" si="9"/>
        <v/>
      </c>
      <c r="Q15" s="23" t="str">
        <f t="shared" ca="1" si="9"/>
        <v/>
      </c>
      <c r="R15" s="23" t="str">
        <f t="shared" ca="1" si="9"/>
        <v/>
      </c>
      <c r="S15" s="23" t="str">
        <f t="shared" ca="1" si="9"/>
        <v/>
      </c>
      <c r="T15" s="23" t="str">
        <f t="shared" ca="1" si="10"/>
        <v/>
      </c>
      <c r="U15" s="23" t="str">
        <f t="shared" ca="1" si="10"/>
        <v/>
      </c>
      <c r="V15" s="23" t="str">
        <f t="shared" ca="1" si="10"/>
        <v/>
      </c>
      <c r="W15" s="23" t="str">
        <f t="shared" ca="1" si="10"/>
        <v/>
      </c>
      <c r="X15" s="23" t="str">
        <f t="shared" ca="1" si="10"/>
        <v/>
      </c>
      <c r="Y15" s="23" t="str">
        <f t="shared" ca="1" si="10"/>
        <v/>
      </c>
      <c r="Z15" s="23" t="str">
        <f t="shared" ca="1" si="10"/>
        <v/>
      </c>
      <c r="AA15" s="23" t="str">
        <f t="shared" ca="1" si="10"/>
        <v/>
      </c>
      <c r="AB15" s="23">
        <f t="shared" ca="1" si="10"/>
        <v>1</v>
      </c>
      <c r="AC15" s="23" t="str">
        <f t="shared" ca="1" si="10"/>
        <v/>
      </c>
      <c r="AD15" s="23" t="str">
        <f t="shared" ca="1" si="11"/>
        <v/>
      </c>
      <c r="AE15" s="23" t="str">
        <f t="shared" ca="1" si="11"/>
        <v/>
      </c>
      <c r="AF15" s="23" t="str">
        <f t="shared" ca="1" si="11"/>
        <v/>
      </c>
      <c r="AG15" s="23" t="str">
        <f t="shared" ca="1" si="11"/>
        <v/>
      </c>
      <c r="AH15" s="23" t="str">
        <f t="shared" ca="1" si="11"/>
        <v/>
      </c>
      <c r="AI15" s="23" t="str">
        <f t="shared" ca="1" si="11"/>
        <v/>
      </c>
      <c r="AJ15" s="23" t="str">
        <f t="shared" ca="1" si="11"/>
        <v/>
      </c>
      <c r="AK15" s="23" t="str">
        <f t="shared" ca="1" si="11"/>
        <v/>
      </c>
      <c r="AL15" s="23" t="str">
        <f t="shared" ca="1" si="11"/>
        <v/>
      </c>
      <c r="AM15" s="23" t="str">
        <f t="shared" ca="1" si="11"/>
        <v/>
      </c>
      <c r="AN15" s="23" t="str">
        <f t="shared" ca="1" si="12"/>
        <v/>
      </c>
      <c r="AO15" s="23" t="str">
        <f t="shared" ca="1" si="12"/>
        <v/>
      </c>
      <c r="AP15" s="23" t="str">
        <f t="shared" ca="1" si="12"/>
        <v/>
      </c>
      <c r="AQ15" s="23" t="str">
        <f t="shared" ca="1" si="12"/>
        <v/>
      </c>
      <c r="AR15" s="23" t="str">
        <f t="shared" ca="1" si="12"/>
        <v/>
      </c>
      <c r="AS15" s="23" t="str">
        <f t="shared" ca="1" si="12"/>
        <v/>
      </c>
      <c r="AT15" s="23" t="str">
        <f t="shared" ca="1" si="12"/>
        <v/>
      </c>
      <c r="AU15" s="23" t="str">
        <f t="shared" ca="1" si="12"/>
        <v/>
      </c>
      <c r="AV15" s="23" t="str">
        <f t="shared" ca="1" si="12"/>
        <v/>
      </c>
      <c r="AW15" s="23" t="str">
        <f t="shared" ca="1" si="12"/>
        <v/>
      </c>
      <c r="AX15" s="23" t="str">
        <f t="shared" ca="1" si="13"/>
        <v/>
      </c>
      <c r="AY15" s="23" t="str">
        <f t="shared" ca="1" si="13"/>
        <v/>
      </c>
      <c r="AZ15" s="23" t="str">
        <f t="shared" ca="1" si="13"/>
        <v/>
      </c>
      <c r="BA15" s="23" t="str">
        <f t="shared" ca="1" si="13"/>
        <v/>
      </c>
      <c r="BB15" s="23" t="str">
        <f t="shared" ca="1" si="13"/>
        <v/>
      </c>
      <c r="BC15" s="23" t="str">
        <f t="shared" ca="1" si="13"/>
        <v/>
      </c>
      <c r="BD15" s="23" t="str">
        <f t="shared" ca="1" si="13"/>
        <v/>
      </c>
      <c r="BE15" s="23" t="str">
        <f t="shared" ca="1" si="13"/>
        <v/>
      </c>
      <c r="BF15" s="23" t="str">
        <f t="shared" ca="1" si="13"/>
        <v/>
      </c>
      <c r="BG15" s="23" t="str">
        <f t="shared" ca="1" si="13"/>
        <v/>
      </c>
      <c r="BH15" s="23" t="str">
        <f t="shared" ca="1" si="13"/>
        <v/>
      </c>
      <c r="BI15" s="23" t="str">
        <f t="shared" ca="1" si="13"/>
        <v/>
      </c>
      <c r="BJ15" s="23" t="str">
        <f t="shared" ca="1" si="13"/>
        <v/>
      </c>
      <c r="BK15" s="23" t="str">
        <f t="shared" ca="1" si="13"/>
        <v/>
      </c>
      <c r="BL15" s="23" t="str">
        <f t="shared" ca="1" si="13"/>
        <v/>
      </c>
    </row>
    <row r="16" spans="1:68" s="1" customFormat="1" ht="40.15" customHeight="1" x14ac:dyDescent="0.25">
      <c r="A16" s="9"/>
      <c r="B16" s="56" t="s">
        <v>14</v>
      </c>
      <c r="C16" s="52" t="s">
        <v>23</v>
      </c>
      <c r="D16" s="52"/>
      <c r="E16" s="53">
        <v>0.1</v>
      </c>
      <c r="F16" s="54">
        <f ca="1">F12+6</f>
        <v>46182</v>
      </c>
      <c r="G16" s="55">
        <v>6</v>
      </c>
      <c r="H16" s="52"/>
      <c r="I16" s="23" t="str">
        <f t="shared" ca="1" si="8"/>
        <v/>
      </c>
      <c r="J16" s="23" t="str">
        <f t="shared" ca="1" si="9"/>
        <v/>
      </c>
      <c r="K16" s="23" t="str">
        <f t="shared" ca="1" si="9"/>
        <v/>
      </c>
      <c r="L16" s="23" t="str">
        <f t="shared" ca="1" si="9"/>
        <v/>
      </c>
      <c r="M16" s="23" t="str">
        <f t="shared" ca="1" si="9"/>
        <v/>
      </c>
      <c r="N16" s="23" t="str">
        <f t="shared" ca="1" si="9"/>
        <v/>
      </c>
      <c r="O16" s="23" t="str">
        <f t="shared" ca="1" si="9"/>
        <v/>
      </c>
      <c r="P16" s="23" t="str">
        <f t="shared" ca="1" si="9"/>
        <v/>
      </c>
      <c r="Q16" s="23" t="str">
        <f t="shared" ca="1" si="9"/>
        <v/>
      </c>
      <c r="R16" s="23" t="str">
        <f t="shared" ca="1" si="9"/>
        <v/>
      </c>
      <c r="S16" s="23" t="str">
        <f t="shared" ca="1" si="9"/>
        <v/>
      </c>
      <c r="T16" s="23" t="str">
        <f t="shared" ca="1" si="10"/>
        <v/>
      </c>
      <c r="U16" s="23" t="str">
        <f t="shared" ca="1" si="10"/>
        <v/>
      </c>
      <c r="V16" s="23" t="str">
        <f t="shared" ca="1" si="10"/>
        <v/>
      </c>
      <c r="W16" s="23" t="str">
        <f t="shared" ca="1" si="10"/>
        <v/>
      </c>
      <c r="X16" s="23" t="str">
        <f t="shared" ca="1" si="10"/>
        <v/>
      </c>
      <c r="Y16" s="23" t="str">
        <f t="shared" ca="1" si="10"/>
        <v/>
      </c>
      <c r="Z16" s="23" t="str">
        <f t="shared" ca="1" si="10"/>
        <v/>
      </c>
      <c r="AA16" s="23" t="str">
        <f t="shared" ca="1" si="10"/>
        <v/>
      </c>
      <c r="AB16" s="23" t="str">
        <f t="shared" ca="1" si="10"/>
        <v/>
      </c>
      <c r="AC16" s="23" t="str">
        <f t="shared" ca="1" si="10"/>
        <v/>
      </c>
      <c r="AD16" s="23" t="str">
        <f t="shared" ca="1" si="11"/>
        <v/>
      </c>
      <c r="AE16" s="23" t="str">
        <f t="shared" ca="1" si="11"/>
        <v/>
      </c>
      <c r="AF16" s="23" t="str">
        <f t="shared" ca="1" si="11"/>
        <v/>
      </c>
      <c r="AG16" s="23" t="str">
        <f t="shared" ca="1" si="11"/>
        <v/>
      </c>
      <c r="AH16" s="23" t="str">
        <f t="shared" ca="1" si="11"/>
        <v/>
      </c>
      <c r="AI16" s="23" t="str">
        <f t="shared" ca="1" si="11"/>
        <v/>
      </c>
      <c r="AJ16" s="23" t="str">
        <f t="shared" ca="1" si="11"/>
        <v/>
      </c>
      <c r="AK16" s="23" t="str">
        <f t="shared" ca="1" si="11"/>
        <v/>
      </c>
      <c r="AL16" s="23" t="str">
        <f t="shared" ca="1" si="11"/>
        <v/>
      </c>
      <c r="AM16" s="23" t="str">
        <f t="shared" ca="1" si="11"/>
        <v/>
      </c>
      <c r="AN16" s="23" t="str">
        <f t="shared" ca="1" si="12"/>
        <v/>
      </c>
      <c r="AO16" s="23" t="str">
        <f t="shared" ca="1" si="12"/>
        <v/>
      </c>
      <c r="AP16" s="23" t="str">
        <f t="shared" ca="1" si="12"/>
        <v/>
      </c>
      <c r="AQ16" s="23" t="str">
        <f t="shared" ca="1" si="12"/>
        <v/>
      </c>
      <c r="AR16" s="23" t="str">
        <f t="shared" ca="1" si="12"/>
        <v/>
      </c>
      <c r="AS16" s="23" t="str">
        <f t="shared" ca="1" si="12"/>
        <v/>
      </c>
      <c r="AT16" s="23" t="str">
        <f t="shared" ca="1" si="12"/>
        <v/>
      </c>
      <c r="AU16" s="23" t="str">
        <f t="shared" ca="1" si="12"/>
        <v/>
      </c>
      <c r="AV16" s="23" t="str">
        <f t="shared" ca="1" si="12"/>
        <v/>
      </c>
      <c r="AW16" s="23" t="str">
        <f t="shared" ca="1" si="12"/>
        <v/>
      </c>
      <c r="AX16" s="23" t="str">
        <f t="shared" ca="1" si="13"/>
        <v/>
      </c>
      <c r="AY16" s="23" t="str">
        <f t="shared" ca="1" si="13"/>
        <v/>
      </c>
      <c r="AZ16" s="23" t="str">
        <f t="shared" ca="1" si="13"/>
        <v/>
      </c>
      <c r="BA16" s="23" t="str">
        <f t="shared" ca="1" si="13"/>
        <v/>
      </c>
      <c r="BB16" s="23" t="str">
        <f t="shared" ca="1" si="13"/>
        <v/>
      </c>
      <c r="BC16" s="23" t="str">
        <f t="shared" ca="1" si="13"/>
        <v/>
      </c>
      <c r="BD16" s="23" t="str">
        <f t="shared" ca="1" si="13"/>
        <v/>
      </c>
      <c r="BE16" s="23" t="str">
        <f t="shared" ca="1" si="13"/>
        <v/>
      </c>
      <c r="BF16" s="23" t="str">
        <f t="shared" ca="1" si="13"/>
        <v/>
      </c>
      <c r="BG16" s="23" t="str">
        <f t="shared" ca="1" si="13"/>
        <v/>
      </c>
      <c r="BH16" s="23" t="str">
        <f t="shared" ca="1" si="13"/>
        <v/>
      </c>
      <c r="BI16" s="23" t="str">
        <f t="shared" ca="1" si="13"/>
        <v/>
      </c>
      <c r="BJ16" s="23" t="str">
        <f t="shared" ca="1" si="13"/>
        <v/>
      </c>
      <c r="BK16" s="23" t="str">
        <f t="shared" ca="1" si="13"/>
        <v/>
      </c>
      <c r="BL16" s="23" t="str">
        <f t="shared" ca="1" si="13"/>
        <v/>
      </c>
    </row>
    <row r="17" spans="1:64" s="1" customFormat="1" ht="40.15" customHeight="1" x14ac:dyDescent="0.25">
      <c r="A17" s="10"/>
      <c r="B17" s="98" t="s">
        <v>15</v>
      </c>
      <c r="C17" s="52"/>
      <c r="D17" s="52"/>
      <c r="E17" s="53"/>
      <c r="F17" s="54"/>
      <c r="G17" s="55"/>
      <c r="H17" s="52"/>
      <c r="I17" s="23" t="str">
        <f t="shared" ca="1" si="8"/>
        <v/>
      </c>
      <c r="J17" s="23" t="str">
        <f t="shared" ca="1" si="9"/>
        <v/>
      </c>
      <c r="K17" s="23" t="str">
        <f t="shared" ca="1" si="9"/>
        <v/>
      </c>
      <c r="L17" s="23" t="str">
        <f t="shared" ca="1" si="9"/>
        <v/>
      </c>
      <c r="M17" s="23" t="str">
        <f t="shared" ca="1" si="9"/>
        <v/>
      </c>
      <c r="N17" s="23" t="str">
        <f t="shared" ca="1" si="9"/>
        <v/>
      </c>
      <c r="O17" s="23" t="str">
        <f t="shared" ca="1" si="9"/>
        <v/>
      </c>
      <c r="P17" s="23" t="str">
        <f t="shared" ca="1" si="9"/>
        <v/>
      </c>
      <c r="Q17" s="23" t="str">
        <f t="shared" ca="1" si="9"/>
        <v/>
      </c>
      <c r="R17" s="23" t="str">
        <f t="shared" ca="1" si="9"/>
        <v/>
      </c>
      <c r="S17" s="23" t="str">
        <f t="shared" ca="1" si="9"/>
        <v/>
      </c>
      <c r="T17" s="23" t="str">
        <f t="shared" ca="1" si="10"/>
        <v/>
      </c>
      <c r="U17" s="23" t="str">
        <f t="shared" ca="1" si="10"/>
        <v/>
      </c>
      <c r="V17" s="23" t="str">
        <f t="shared" ca="1" si="10"/>
        <v/>
      </c>
      <c r="W17" s="23" t="str">
        <f t="shared" ca="1" si="10"/>
        <v/>
      </c>
      <c r="X17" s="23" t="str">
        <f t="shared" ca="1" si="10"/>
        <v/>
      </c>
      <c r="Y17" s="23" t="str">
        <f t="shared" ca="1" si="10"/>
        <v/>
      </c>
      <c r="Z17" s="23" t="str">
        <f t="shared" ca="1" si="10"/>
        <v/>
      </c>
      <c r="AA17" s="23" t="str">
        <f t="shared" ca="1" si="10"/>
        <v/>
      </c>
      <c r="AB17" s="23" t="str">
        <f t="shared" ca="1" si="10"/>
        <v/>
      </c>
      <c r="AC17" s="23" t="str">
        <f t="shared" ca="1" si="10"/>
        <v/>
      </c>
      <c r="AD17" s="23" t="str">
        <f t="shared" ca="1" si="11"/>
        <v/>
      </c>
      <c r="AE17" s="23" t="str">
        <f t="shared" ca="1" si="11"/>
        <v/>
      </c>
      <c r="AF17" s="23" t="str">
        <f t="shared" ca="1" si="11"/>
        <v/>
      </c>
      <c r="AG17" s="23" t="str">
        <f t="shared" ca="1" si="11"/>
        <v/>
      </c>
      <c r="AH17" s="23" t="str">
        <f t="shared" ca="1" si="11"/>
        <v/>
      </c>
      <c r="AI17" s="23" t="str">
        <f t="shared" ca="1" si="11"/>
        <v/>
      </c>
      <c r="AJ17" s="23" t="str">
        <f t="shared" ca="1" si="11"/>
        <v/>
      </c>
      <c r="AK17" s="23" t="str">
        <f t="shared" ca="1" si="11"/>
        <v/>
      </c>
      <c r="AL17" s="23" t="str">
        <f t="shared" ca="1" si="11"/>
        <v/>
      </c>
      <c r="AM17" s="23" t="str">
        <f t="shared" ca="1" si="11"/>
        <v/>
      </c>
      <c r="AN17" s="23" t="str">
        <f t="shared" ca="1" si="12"/>
        <v/>
      </c>
      <c r="AO17" s="23" t="str">
        <f t="shared" ca="1" si="12"/>
        <v/>
      </c>
      <c r="AP17" s="23" t="str">
        <f t="shared" ca="1" si="12"/>
        <v/>
      </c>
      <c r="AQ17" s="23" t="str">
        <f t="shared" ca="1" si="12"/>
        <v/>
      </c>
      <c r="AR17" s="23" t="str">
        <f t="shared" ca="1" si="12"/>
        <v/>
      </c>
      <c r="AS17" s="23" t="str">
        <f t="shared" ca="1" si="12"/>
        <v/>
      </c>
      <c r="AT17" s="23" t="str">
        <f t="shared" ca="1" si="12"/>
        <v/>
      </c>
      <c r="AU17" s="23" t="str">
        <f t="shared" ca="1" si="12"/>
        <v/>
      </c>
      <c r="AV17" s="23" t="str">
        <f t="shared" ca="1" si="12"/>
        <v/>
      </c>
      <c r="AW17" s="23" t="str">
        <f t="shared" ca="1" si="12"/>
        <v/>
      </c>
      <c r="AX17" s="23" t="str">
        <f t="shared" ca="1" si="13"/>
        <v/>
      </c>
      <c r="AY17" s="23" t="str">
        <f t="shared" ca="1" si="13"/>
        <v/>
      </c>
      <c r="AZ17" s="23" t="str">
        <f t="shared" ca="1" si="13"/>
        <v/>
      </c>
      <c r="BA17" s="23" t="str">
        <f t="shared" ca="1" si="13"/>
        <v/>
      </c>
      <c r="BB17" s="23" t="str">
        <f t="shared" ca="1" si="13"/>
        <v/>
      </c>
      <c r="BC17" s="23" t="str">
        <f t="shared" ca="1" si="13"/>
        <v/>
      </c>
      <c r="BD17" s="23" t="str">
        <f t="shared" ca="1" si="13"/>
        <v/>
      </c>
      <c r="BE17" s="23" t="str">
        <f t="shared" ca="1" si="13"/>
        <v/>
      </c>
      <c r="BF17" s="23" t="str">
        <f t="shared" ca="1" si="13"/>
        <v/>
      </c>
      <c r="BG17" s="23" t="str">
        <f t="shared" ca="1" si="13"/>
        <v/>
      </c>
      <c r="BH17" s="23" t="str">
        <f t="shared" ca="1" si="13"/>
        <v/>
      </c>
      <c r="BI17" s="23" t="str">
        <f t="shared" ca="1" si="13"/>
        <v/>
      </c>
      <c r="BJ17" s="23" t="str">
        <f t="shared" ca="1" si="13"/>
        <v/>
      </c>
      <c r="BK17" s="23" t="str">
        <f t="shared" ca="1" si="13"/>
        <v/>
      </c>
      <c r="BL17" s="23" t="str">
        <f t="shared" ca="1" si="13"/>
        <v/>
      </c>
    </row>
    <row r="18" spans="1:64" s="1" customFormat="1" ht="40.15" customHeight="1" x14ac:dyDescent="0.25">
      <c r="A18" s="10"/>
      <c r="B18" s="56" t="s">
        <v>10</v>
      </c>
      <c r="C18" s="52" t="s">
        <v>24</v>
      </c>
      <c r="D18" s="52"/>
      <c r="E18" s="53">
        <v>0.6</v>
      </c>
      <c r="F18" s="54">
        <f ca="1">F12+6</f>
        <v>46182</v>
      </c>
      <c r="G18" s="55">
        <v>13</v>
      </c>
      <c r="H18" s="52"/>
      <c r="I18" s="23" t="str">
        <f t="shared" ca="1" si="8"/>
        <v/>
      </c>
      <c r="J18" s="23" t="str">
        <f t="shared" ca="1" si="9"/>
        <v/>
      </c>
      <c r="K18" s="23" t="str">
        <f t="shared" ca="1" si="9"/>
        <v/>
      </c>
      <c r="L18" s="23" t="str">
        <f t="shared" ca="1" si="9"/>
        <v/>
      </c>
      <c r="M18" s="23" t="str">
        <f t="shared" ca="1" si="9"/>
        <v/>
      </c>
      <c r="N18" s="23" t="str">
        <f t="shared" ca="1" si="9"/>
        <v/>
      </c>
      <c r="O18" s="23" t="str">
        <f t="shared" ca="1" si="9"/>
        <v/>
      </c>
      <c r="P18" s="23" t="str">
        <f t="shared" ca="1" si="9"/>
        <v/>
      </c>
      <c r="Q18" s="23" t="str">
        <f t="shared" ca="1" si="9"/>
        <v/>
      </c>
      <c r="R18" s="23" t="str">
        <f t="shared" ca="1" si="9"/>
        <v/>
      </c>
      <c r="S18" s="23" t="str">
        <f t="shared" ca="1" si="9"/>
        <v/>
      </c>
      <c r="T18" s="23" t="str">
        <f t="shared" ca="1" si="10"/>
        <v/>
      </c>
      <c r="U18" s="23" t="str">
        <f t="shared" ca="1" si="10"/>
        <v/>
      </c>
      <c r="V18" s="23" t="str">
        <f t="shared" ca="1" si="10"/>
        <v/>
      </c>
      <c r="W18" s="23" t="str">
        <f t="shared" ca="1" si="10"/>
        <v/>
      </c>
      <c r="X18" s="23" t="str">
        <f t="shared" ca="1" si="10"/>
        <v/>
      </c>
      <c r="Y18" s="23" t="str">
        <f t="shared" ca="1" si="10"/>
        <v/>
      </c>
      <c r="Z18" s="23" t="str">
        <f t="shared" ca="1" si="10"/>
        <v/>
      </c>
      <c r="AA18" s="23" t="str">
        <f t="shared" ca="1" si="10"/>
        <v/>
      </c>
      <c r="AB18" s="23" t="str">
        <f t="shared" ca="1" si="10"/>
        <v/>
      </c>
      <c r="AC18" s="23" t="str">
        <f t="shared" ca="1" si="10"/>
        <v/>
      </c>
      <c r="AD18" s="23" t="str">
        <f t="shared" ca="1" si="11"/>
        <v/>
      </c>
      <c r="AE18" s="23" t="str">
        <f t="shared" ca="1" si="11"/>
        <v/>
      </c>
      <c r="AF18" s="23" t="str">
        <f t="shared" ca="1" si="11"/>
        <v/>
      </c>
      <c r="AG18" s="23" t="str">
        <f t="shared" ca="1" si="11"/>
        <v/>
      </c>
      <c r="AH18" s="23" t="str">
        <f t="shared" ca="1" si="11"/>
        <v/>
      </c>
      <c r="AI18" s="23" t="str">
        <f t="shared" ca="1" si="11"/>
        <v/>
      </c>
      <c r="AJ18" s="23" t="str">
        <f t="shared" ca="1" si="11"/>
        <v/>
      </c>
      <c r="AK18" s="23" t="str">
        <f t="shared" ca="1" si="11"/>
        <v/>
      </c>
      <c r="AL18" s="23" t="str">
        <f t="shared" ca="1" si="11"/>
        <v/>
      </c>
      <c r="AM18" s="23" t="str">
        <f t="shared" ca="1" si="11"/>
        <v/>
      </c>
      <c r="AN18" s="23" t="str">
        <f t="shared" ca="1" si="12"/>
        <v/>
      </c>
      <c r="AO18" s="23" t="str">
        <f t="shared" ca="1" si="12"/>
        <v/>
      </c>
      <c r="AP18" s="23" t="str">
        <f t="shared" ca="1" si="12"/>
        <v/>
      </c>
      <c r="AQ18" s="23" t="str">
        <f t="shared" ca="1" si="12"/>
        <v/>
      </c>
      <c r="AR18" s="23" t="str">
        <f t="shared" ca="1" si="12"/>
        <v/>
      </c>
      <c r="AS18" s="23" t="str">
        <f t="shared" ca="1" si="12"/>
        <v/>
      </c>
      <c r="AT18" s="23" t="str">
        <f t="shared" ca="1" si="12"/>
        <v/>
      </c>
      <c r="AU18" s="23" t="str">
        <f t="shared" ca="1" si="12"/>
        <v/>
      </c>
      <c r="AV18" s="23" t="str">
        <f t="shared" ca="1" si="12"/>
        <v/>
      </c>
      <c r="AW18" s="23" t="str">
        <f t="shared" ca="1" si="12"/>
        <v/>
      </c>
      <c r="AX18" s="23" t="str">
        <f t="shared" ca="1" si="13"/>
        <v/>
      </c>
      <c r="AY18" s="23" t="str">
        <f t="shared" ca="1" si="13"/>
        <v/>
      </c>
      <c r="AZ18" s="23" t="str">
        <f t="shared" ca="1" si="13"/>
        <v/>
      </c>
      <c r="BA18" s="23" t="str">
        <f t="shared" ca="1" si="13"/>
        <v/>
      </c>
      <c r="BB18" s="23" t="str">
        <f t="shared" ca="1" si="13"/>
        <v/>
      </c>
      <c r="BC18" s="23" t="str">
        <f t="shared" ca="1" si="13"/>
        <v/>
      </c>
      <c r="BD18" s="23" t="str">
        <f t="shared" ca="1" si="13"/>
        <v/>
      </c>
      <c r="BE18" s="23" t="str">
        <f t="shared" ca="1" si="13"/>
        <v/>
      </c>
      <c r="BF18" s="23" t="str">
        <f t="shared" ca="1" si="13"/>
        <v/>
      </c>
      <c r="BG18" s="23" t="str">
        <f t="shared" ca="1" si="13"/>
        <v/>
      </c>
      <c r="BH18" s="23" t="str">
        <f t="shared" ca="1" si="13"/>
        <v/>
      </c>
      <c r="BI18" s="23" t="str">
        <f t="shared" ca="1" si="13"/>
        <v/>
      </c>
      <c r="BJ18" s="23" t="str">
        <f t="shared" ca="1" si="13"/>
        <v/>
      </c>
      <c r="BK18" s="23" t="str">
        <f t="shared" ca="1" si="13"/>
        <v/>
      </c>
      <c r="BL18" s="23" t="str">
        <f t="shared" ca="1" si="13"/>
        <v/>
      </c>
    </row>
    <row r="19" spans="1:64" s="1" customFormat="1" ht="40.15" customHeight="1" x14ac:dyDescent="0.25">
      <c r="A19" s="9"/>
      <c r="B19" s="56" t="s">
        <v>11</v>
      </c>
      <c r="C19" s="52" t="s">
        <v>25</v>
      </c>
      <c r="D19" s="52"/>
      <c r="E19" s="53">
        <v>0.5</v>
      </c>
      <c r="F19" s="54">
        <f ca="1">F18+2</f>
        <v>46184</v>
      </c>
      <c r="G19" s="55">
        <v>9</v>
      </c>
      <c r="H19" s="52"/>
      <c r="I19" s="23" t="str">
        <f t="shared" ca="1" si="8"/>
        <v/>
      </c>
      <c r="J19" s="23" t="str">
        <f t="shared" ca="1" si="9"/>
        <v/>
      </c>
      <c r="K19" s="23" t="str">
        <f t="shared" ca="1" si="9"/>
        <v/>
      </c>
      <c r="L19" s="23" t="str">
        <f t="shared" ca="1" si="9"/>
        <v/>
      </c>
      <c r="M19" s="23" t="str">
        <f t="shared" ca="1" si="9"/>
        <v/>
      </c>
      <c r="N19" s="23" t="str">
        <f t="shared" ca="1" si="9"/>
        <v/>
      </c>
      <c r="O19" s="23" t="str">
        <f t="shared" ca="1" si="9"/>
        <v/>
      </c>
      <c r="P19" s="23" t="str">
        <f t="shared" ca="1" si="9"/>
        <v/>
      </c>
      <c r="Q19" s="23" t="str">
        <f t="shared" ca="1" si="9"/>
        <v/>
      </c>
      <c r="R19" s="23" t="str">
        <f t="shared" ca="1" si="9"/>
        <v/>
      </c>
      <c r="S19" s="23" t="str">
        <f t="shared" ca="1" si="9"/>
        <v/>
      </c>
      <c r="T19" s="23" t="str">
        <f t="shared" ca="1" si="10"/>
        <v/>
      </c>
      <c r="U19" s="23" t="str">
        <f t="shared" ca="1" si="10"/>
        <v/>
      </c>
      <c r="V19" s="23" t="str">
        <f t="shared" ca="1" si="10"/>
        <v/>
      </c>
      <c r="W19" s="23" t="str">
        <f t="shared" ca="1" si="10"/>
        <v/>
      </c>
      <c r="X19" s="23" t="str">
        <f t="shared" ca="1" si="10"/>
        <v/>
      </c>
      <c r="Y19" s="23" t="str">
        <f t="shared" ca="1" si="10"/>
        <v/>
      </c>
      <c r="Z19" s="23" t="str">
        <f t="shared" ca="1" si="10"/>
        <v/>
      </c>
      <c r="AA19" s="23" t="str">
        <f t="shared" ca="1" si="10"/>
        <v/>
      </c>
      <c r="AB19" s="23" t="str">
        <f t="shared" ca="1" si="10"/>
        <v/>
      </c>
      <c r="AC19" s="23" t="str">
        <f t="shared" ca="1" si="10"/>
        <v/>
      </c>
      <c r="AD19" s="23" t="str">
        <f t="shared" ca="1" si="11"/>
        <v/>
      </c>
      <c r="AE19" s="23" t="str">
        <f t="shared" ca="1" si="11"/>
        <v/>
      </c>
      <c r="AF19" s="23" t="str">
        <f t="shared" ca="1" si="11"/>
        <v/>
      </c>
      <c r="AG19" s="23" t="str">
        <f t="shared" ca="1" si="11"/>
        <v/>
      </c>
      <c r="AH19" s="23" t="str">
        <f t="shared" ca="1" si="11"/>
        <v/>
      </c>
      <c r="AI19" s="23" t="str">
        <f t="shared" ca="1" si="11"/>
        <v/>
      </c>
      <c r="AJ19" s="23" t="str">
        <f t="shared" ca="1" si="11"/>
        <v/>
      </c>
      <c r="AK19" s="23" t="str">
        <f t="shared" ca="1" si="11"/>
        <v/>
      </c>
      <c r="AL19" s="23" t="str">
        <f t="shared" ca="1" si="11"/>
        <v/>
      </c>
      <c r="AM19" s="23" t="str">
        <f t="shared" ca="1" si="11"/>
        <v/>
      </c>
      <c r="AN19" s="23" t="str">
        <f t="shared" ca="1" si="12"/>
        <v/>
      </c>
      <c r="AO19" s="23" t="str">
        <f t="shared" ca="1" si="12"/>
        <v/>
      </c>
      <c r="AP19" s="23" t="str">
        <f t="shared" ca="1" si="12"/>
        <v/>
      </c>
      <c r="AQ19" s="23" t="str">
        <f t="shared" ca="1" si="12"/>
        <v/>
      </c>
      <c r="AR19" s="23" t="str">
        <f t="shared" ca="1" si="12"/>
        <v/>
      </c>
      <c r="AS19" s="23" t="str">
        <f t="shared" ca="1" si="12"/>
        <v/>
      </c>
      <c r="AT19" s="23" t="str">
        <f t="shared" ca="1" si="12"/>
        <v/>
      </c>
      <c r="AU19" s="23" t="str">
        <f t="shared" ca="1" si="12"/>
        <v/>
      </c>
      <c r="AV19" s="23" t="str">
        <f t="shared" ca="1" si="12"/>
        <v/>
      </c>
      <c r="AW19" s="23" t="str">
        <f t="shared" ca="1" si="12"/>
        <v/>
      </c>
      <c r="AX19" s="23" t="str">
        <f t="shared" ca="1" si="13"/>
        <v/>
      </c>
      <c r="AY19" s="23" t="str">
        <f t="shared" ca="1" si="13"/>
        <v/>
      </c>
      <c r="AZ19" s="23" t="str">
        <f t="shared" ca="1" si="13"/>
        <v/>
      </c>
      <c r="BA19" s="23" t="str">
        <f t="shared" ca="1" si="13"/>
        <v/>
      </c>
      <c r="BB19" s="23" t="str">
        <f t="shared" ca="1" si="13"/>
        <v/>
      </c>
      <c r="BC19" s="23" t="str">
        <f t="shared" ca="1" si="13"/>
        <v/>
      </c>
      <c r="BD19" s="23" t="str">
        <f t="shared" ca="1" si="13"/>
        <v/>
      </c>
      <c r="BE19" s="23" t="str">
        <f t="shared" ca="1" si="13"/>
        <v/>
      </c>
      <c r="BF19" s="23" t="str">
        <f t="shared" ca="1" si="13"/>
        <v/>
      </c>
      <c r="BG19" s="23" t="str">
        <f t="shared" ca="1" si="13"/>
        <v/>
      </c>
      <c r="BH19" s="23" t="str">
        <f t="shared" ca="1" si="13"/>
        <v/>
      </c>
      <c r="BI19" s="23" t="str">
        <f t="shared" ca="1" si="13"/>
        <v/>
      </c>
      <c r="BJ19" s="23" t="str">
        <f t="shared" ca="1" si="13"/>
        <v/>
      </c>
      <c r="BK19" s="23" t="str">
        <f t="shared" ca="1" si="13"/>
        <v/>
      </c>
      <c r="BL19" s="23" t="str">
        <f t="shared" ca="1" si="13"/>
        <v/>
      </c>
    </row>
    <row r="20" spans="1:64" s="1" customFormat="1" ht="40.15" customHeight="1" x14ac:dyDescent="0.25">
      <c r="A20" s="9"/>
      <c r="B20" s="56" t="s">
        <v>12</v>
      </c>
      <c r="C20" s="52" t="s">
        <v>22</v>
      </c>
      <c r="D20" s="52"/>
      <c r="E20" s="53">
        <v>0.33</v>
      </c>
      <c r="F20" s="54">
        <f ca="1">F19+5</f>
        <v>46189</v>
      </c>
      <c r="G20" s="55">
        <v>11</v>
      </c>
      <c r="H20" s="52"/>
      <c r="I20" s="23" t="str">
        <f t="shared" ca="1" si="8"/>
        <v/>
      </c>
      <c r="J20" s="23" t="str">
        <f t="shared" ca="1" si="9"/>
        <v/>
      </c>
      <c r="K20" s="23" t="str">
        <f t="shared" ca="1" si="9"/>
        <v/>
      </c>
      <c r="L20" s="23" t="str">
        <f t="shared" ca="1" si="9"/>
        <v/>
      </c>
      <c r="M20" s="23" t="str">
        <f t="shared" ca="1" si="9"/>
        <v/>
      </c>
      <c r="N20" s="23" t="str">
        <f t="shared" ca="1" si="9"/>
        <v/>
      </c>
      <c r="O20" s="23" t="str">
        <f t="shared" ca="1" si="9"/>
        <v/>
      </c>
      <c r="P20" s="23" t="str">
        <f t="shared" ca="1" si="9"/>
        <v/>
      </c>
      <c r="Q20" s="23" t="str">
        <f t="shared" ca="1" si="9"/>
        <v/>
      </c>
      <c r="R20" s="23" t="str">
        <f t="shared" ca="1" si="9"/>
        <v/>
      </c>
      <c r="S20" s="23" t="str">
        <f t="shared" ca="1" si="9"/>
        <v/>
      </c>
      <c r="T20" s="23" t="str">
        <f t="shared" ca="1" si="10"/>
        <v/>
      </c>
      <c r="U20" s="23" t="str">
        <f t="shared" ca="1" si="10"/>
        <v/>
      </c>
      <c r="V20" s="23" t="str">
        <f t="shared" ca="1" si="10"/>
        <v/>
      </c>
      <c r="W20" s="23" t="str">
        <f t="shared" ca="1" si="10"/>
        <v/>
      </c>
      <c r="X20" s="23" t="str">
        <f t="shared" ca="1" si="10"/>
        <v/>
      </c>
      <c r="Y20" s="23" t="str">
        <f t="shared" ca="1" si="10"/>
        <v/>
      </c>
      <c r="Z20" s="23" t="str">
        <f t="shared" ca="1" si="10"/>
        <v/>
      </c>
      <c r="AA20" s="23" t="str">
        <f t="shared" ca="1" si="10"/>
        <v/>
      </c>
      <c r="AB20" s="23" t="str">
        <f t="shared" ca="1" si="10"/>
        <v/>
      </c>
      <c r="AC20" s="23" t="str">
        <f t="shared" ca="1" si="10"/>
        <v/>
      </c>
      <c r="AD20" s="23" t="str">
        <f t="shared" ca="1" si="11"/>
        <v/>
      </c>
      <c r="AE20" s="23" t="str">
        <f t="shared" ca="1" si="11"/>
        <v/>
      </c>
      <c r="AF20" s="23" t="str">
        <f t="shared" ca="1" si="11"/>
        <v/>
      </c>
      <c r="AG20" s="23" t="str">
        <f t="shared" ca="1" si="11"/>
        <v/>
      </c>
      <c r="AH20" s="23" t="str">
        <f t="shared" ca="1" si="11"/>
        <v/>
      </c>
      <c r="AI20" s="23" t="str">
        <f t="shared" ca="1" si="11"/>
        <v/>
      </c>
      <c r="AJ20" s="23" t="str">
        <f t="shared" ca="1" si="11"/>
        <v/>
      </c>
      <c r="AK20" s="23" t="str">
        <f t="shared" ca="1" si="11"/>
        <v/>
      </c>
      <c r="AL20" s="23" t="str">
        <f t="shared" ca="1" si="11"/>
        <v/>
      </c>
      <c r="AM20" s="23" t="str">
        <f t="shared" ca="1" si="11"/>
        <v/>
      </c>
      <c r="AN20" s="23" t="str">
        <f t="shared" ca="1" si="12"/>
        <v/>
      </c>
      <c r="AO20" s="23" t="str">
        <f t="shared" ca="1" si="12"/>
        <v/>
      </c>
      <c r="AP20" s="23" t="str">
        <f t="shared" ca="1" si="12"/>
        <v/>
      </c>
      <c r="AQ20" s="23" t="str">
        <f t="shared" ca="1" si="12"/>
        <v/>
      </c>
      <c r="AR20" s="23" t="str">
        <f t="shared" ca="1" si="12"/>
        <v/>
      </c>
      <c r="AS20" s="23" t="str">
        <f t="shared" ca="1" si="12"/>
        <v/>
      </c>
      <c r="AT20" s="23" t="str">
        <f t="shared" ca="1" si="12"/>
        <v/>
      </c>
      <c r="AU20" s="23" t="str">
        <f t="shared" ca="1" si="12"/>
        <v/>
      </c>
      <c r="AV20" s="23" t="str">
        <f t="shared" ca="1" si="12"/>
        <v/>
      </c>
      <c r="AW20" s="23" t="str">
        <f t="shared" ca="1" si="12"/>
        <v/>
      </c>
      <c r="AX20" s="23" t="str">
        <f t="shared" ca="1" si="13"/>
        <v/>
      </c>
      <c r="AY20" s="23" t="str">
        <f t="shared" ca="1" si="13"/>
        <v/>
      </c>
      <c r="AZ20" s="23" t="str">
        <f t="shared" ca="1" si="13"/>
        <v/>
      </c>
      <c r="BA20" s="23" t="str">
        <f t="shared" ca="1" si="13"/>
        <v/>
      </c>
      <c r="BB20" s="23" t="str">
        <f t="shared" ca="1" si="13"/>
        <v/>
      </c>
      <c r="BC20" s="23" t="str">
        <f t="shared" ca="1" si="13"/>
        <v/>
      </c>
      <c r="BD20" s="23" t="str">
        <f t="shared" ca="1" si="13"/>
        <v/>
      </c>
      <c r="BE20" s="23" t="str">
        <f t="shared" ca="1" si="13"/>
        <v/>
      </c>
      <c r="BF20" s="23" t="str">
        <f t="shared" ca="1" si="13"/>
        <v/>
      </c>
      <c r="BG20" s="23" t="str">
        <f t="shared" ca="1" si="13"/>
        <v/>
      </c>
      <c r="BH20" s="23" t="str">
        <f t="shared" ca="1" si="13"/>
        <v/>
      </c>
      <c r="BI20" s="23" t="str">
        <f t="shared" ca="1" si="13"/>
        <v/>
      </c>
      <c r="BJ20" s="23" t="str">
        <f t="shared" ca="1" si="13"/>
        <v/>
      </c>
      <c r="BK20" s="23" t="str">
        <f t="shared" ca="1" si="13"/>
        <v/>
      </c>
      <c r="BL20" s="23" t="str">
        <f t="shared" ca="1" si="13"/>
        <v/>
      </c>
    </row>
    <row r="21" spans="1:64" s="1" customFormat="1" ht="40.15" customHeight="1" x14ac:dyDescent="0.25">
      <c r="A21" s="9"/>
      <c r="B21" s="56" t="s">
        <v>13</v>
      </c>
      <c r="C21" s="52" t="s">
        <v>21</v>
      </c>
      <c r="D21" s="52"/>
      <c r="E21" s="53"/>
      <c r="F21" s="54">
        <f ca="1">F20+2</f>
        <v>46191</v>
      </c>
      <c r="G21" s="55">
        <v>1</v>
      </c>
      <c r="H21" s="52"/>
      <c r="I21" s="23" t="str">
        <f t="shared" ca="1" si="8"/>
        <v/>
      </c>
      <c r="J21" s="23" t="str">
        <f t="shared" ca="1" si="9"/>
        <v/>
      </c>
      <c r="K21" s="23" t="str">
        <f t="shared" ca="1" si="9"/>
        <v/>
      </c>
      <c r="L21" s="23" t="str">
        <f t="shared" ca="1" si="9"/>
        <v/>
      </c>
      <c r="M21" s="23" t="str">
        <f t="shared" ca="1" si="9"/>
        <v/>
      </c>
      <c r="N21" s="23" t="str">
        <f t="shared" ca="1" si="9"/>
        <v/>
      </c>
      <c r="O21" s="23" t="str">
        <f t="shared" ca="1" si="9"/>
        <v/>
      </c>
      <c r="P21" s="23" t="str">
        <f t="shared" ca="1" si="9"/>
        <v/>
      </c>
      <c r="Q21" s="23" t="str">
        <f t="shared" ca="1" si="9"/>
        <v/>
      </c>
      <c r="R21" s="23" t="str">
        <f t="shared" ca="1" si="9"/>
        <v/>
      </c>
      <c r="S21" s="23" t="str">
        <f t="shared" ca="1" si="9"/>
        <v/>
      </c>
      <c r="T21" s="23" t="str">
        <f t="shared" ca="1" si="10"/>
        <v/>
      </c>
      <c r="U21" s="23" t="str">
        <f t="shared" ca="1" si="10"/>
        <v/>
      </c>
      <c r="V21" s="23" t="str">
        <f t="shared" ca="1" si="10"/>
        <v/>
      </c>
      <c r="W21" s="23">
        <f t="shared" ca="1" si="10"/>
        <v>1</v>
      </c>
      <c r="X21" s="23" t="str">
        <f t="shared" ca="1" si="10"/>
        <v/>
      </c>
      <c r="Y21" s="23" t="str">
        <f t="shared" ca="1" si="10"/>
        <v/>
      </c>
      <c r="Z21" s="23" t="str">
        <f t="shared" ca="1" si="10"/>
        <v/>
      </c>
      <c r="AA21" s="23" t="str">
        <f t="shared" ca="1" si="10"/>
        <v/>
      </c>
      <c r="AB21" s="23" t="str">
        <f t="shared" ca="1" si="10"/>
        <v/>
      </c>
      <c r="AC21" s="23" t="str">
        <f t="shared" ca="1" si="10"/>
        <v/>
      </c>
      <c r="AD21" s="23" t="str">
        <f t="shared" ca="1" si="11"/>
        <v/>
      </c>
      <c r="AE21" s="23" t="str">
        <f t="shared" ca="1" si="11"/>
        <v/>
      </c>
      <c r="AF21" s="23" t="str">
        <f t="shared" ca="1" si="11"/>
        <v/>
      </c>
      <c r="AG21" s="23" t="str">
        <f t="shared" ca="1" si="11"/>
        <v/>
      </c>
      <c r="AH21" s="23" t="str">
        <f t="shared" ca="1" si="11"/>
        <v/>
      </c>
      <c r="AI21" s="23" t="str">
        <f t="shared" ca="1" si="11"/>
        <v/>
      </c>
      <c r="AJ21" s="23" t="str">
        <f t="shared" ca="1" si="11"/>
        <v/>
      </c>
      <c r="AK21" s="23" t="str">
        <f t="shared" ca="1" si="11"/>
        <v/>
      </c>
      <c r="AL21" s="23" t="str">
        <f t="shared" ca="1" si="11"/>
        <v/>
      </c>
      <c r="AM21" s="23" t="str">
        <f t="shared" ca="1" si="11"/>
        <v/>
      </c>
      <c r="AN21" s="23" t="str">
        <f t="shared" ca="1" si="12"/>
        <v/>
      </c>
      <c r="AO21" s="23" t="str">
        <f t="shared" ca="1" si="12"/>
        <v/>
      </c>
      <c r="AP21" s="23" t="str">
        <f t="shared" ca="1" si="12"/>
        <v/>
      </c>
      <c r="AQ21" s="23" t="str">
        <f t="shared" ca="1" si="12"/>
        <v/>
      </c>
      <c r="AR21" s="23" t="str">
        <f t="shared" ca="1" si="12"/>
        <v/>
      </c>
      <c r="AS21" s="23" t="str">
        <f t="shared" ca="1" si="12"/>
        <v/>
      </c>
      <c r="AT21" s="23" t="str">
        <f t="shared" ca="1" si="12"/>
        <v/>
      </c>
      <c r="AU21" s="23" t="str">
        <f t="shared" ca="1" si="12"/>
        <v/>
      </c>
      <c r="AV21" s="23" t="str">
        <f t="shared" ca="1" si="12"/>
        <v/>
      </c>
      <c r="AW21" s="23" t="str">
        <f t="shared" ca="1" si="12"/>
        <v/>
      </c>
      <c r="AX21" s="23" t="str">
        <f t="shared" ca="1" si="13"/>
        <v/>
      </c>
      <c r="AY21" s="23" t="str">
        <f t="shared" ca="1" si="13"/>
        <v/>
      </c>
      <c r="AZ21" s="23" t="str">
        <f t="shared" ca="1" si="13"/>
        <v/>
      </c>
      <c r="BA21" s="23" t="str">
        <f t="shared" ca="1" si="13"/>
        <v/>
      </c>
      <c r="BB21" s="23" t="str">
        <f t="shared" ca="1" si="13"/>
        <v/>
      </c>
      <c r="BC21" s="23" t="str">
        <f t="shared" ca="1" si="13"/>
        <v/>
      </c>
      <c r="BD21" s="23" t="str">
        <f t="shared" ca="1" si="13"/>
        <v/>
      </c>
      <c r="BE21" s="23" t="str">
        <f t="shared" ca="1" si="13"/>
        <v/>
      </c>
      <c r="BF21" s="23" t="str">
        <f t="shared" ca="1" si="13"/>
        <v/>
      </c>
      <c r="BG21" s="23" t="str">
        <f t="shared" ca="1" si="13"/>
        <v/>
      </c>
      <c r="BH21" s="23" t="str">
        <f t="shared" ca="1" si="13"/>
        <v/>
      </c>
      <c r="BI21" s="23" t="str">
        <f t="shared" ca="1" si="13"/>
        <v/>
      </c>
      <c r="BJ21" s="23" t="str">
        <f t="shared" ca="1" si="13"/>
        <v/>
      </c>
      <c r="BK21" s="23" t="str">
        <f t="shared" ca="1" si="13"/>
        <v/>
      </c>
      <c r="BL21" s="23" t="str">
        <f t="shared" ca="1" si="13"/>
        <v/>
      </c>
    </row>
    <row r="22" spans="1:64" s="1" customFormat="1" ht="40.15" customHeight="1" x14ac:dyDescent="0.25">
      <c r="A22" s="9"/>
      <c r="B22" s="56" t="s">
        <v>14</v>
      </c>
      <c r="C22" s="52"/>
      <c r="D22" s="52"/>
      <c r="E22" s="53"/>
      <c r="F22" s="54">
        <f ca="1">F21+1</f>
        <v>46192</v>
      </c>
      <c r="G22" s="55">
        <v>24</v>
      </c>
      <c r="H22" s="52"/>
      <c r="I22" s="23" t="str">
        <f t="shared" ca="1" si="8"/>
        <v/>
      </c>
      <c r="J22" s="23" t="str">
        <f t="shared" ca="1" si="9"/>
        <v/>
      </c>
      <c r="K22" s="23" t="str">
        <f t="shared" ca="1" si="9"/>
        <v/>
      </c>
      <c r="L22" s="23" t="str">
        <f t="shared" ca="1" si="9"/>
        <v/>
      </c>
      <c r="M22" s="23" t="str">
        <f t="shared" ca="1" si="9"/>
        <v/>
      </c>
      <c r="N22" s="23" t="str">
        <f t="shared" ca="1" si="9"/>
        <v/>
      </c>
      <c r="O22" s="23" t="str">
        <f t="shared" ca="1" si="9"/>
        <v/>
      </c>
      <c r="P22" s="23" t="str">
        <f t="shared" ca="1" si="9"/>
        <v/>
      </c>
      <c r="Q22" s="23" t="str">
        <f t="shared" ca="1" si="9"/>
        <v/>
      </c>
      <c r="R22" s="23" t="str">
        <f t="shared" ca="1" si="9"/>
        <v/>
      </c>
      <c r="S22" s="23" t="str">
        <f t="shared" ca="1" si="9"/>
        <v/>
      </c>
      <c r="T22" s="23" t="str">
        <f t="shared" ca="1" si="10"/>
        <v/>
      </c>
      <c r="U22" s="23" t="str">
        <f t="shared" ca="1" si="10"/>
        <v/>
      </c>
      <c r="V22" s="23" t="str">
        <f t="shared" ca="1" si="10"/>
        <v/>
      </c>
      <c r="W22" s="23" t="str">
        <f t="shared" ca="1" si="10"/>
        <v/>
      </c>
      <c r="X22" s="23" t="str">
        <f t="shared" ca="1" si="10"/>
        <v/>
      </c>
      <c r="Y22" s="23" t="str">
        <f t="shared" ca="1" si="10"/>
        <v/>
      </c>
      <c r="Z22" s="23" t="str">
        <f t="shared" ca="1" si="10"/>
        <v/>
      </c>
      <c r="AA22" s="23" t="str">
        <f t="shared" ca="1" si="10"/>
        <v/>
      </c>
      <c r="AB22" s="23" t="str">
        <f t="shared" ca="1" si="10"/>
        <v/>
      </c>
      <c r="AC22" s="23" t="str">
        <f t="shared" ca="1" si="10"/>
        <v/>
      </c>
      <c r="AD22" s="23" t="str">
        <f t="shared" ca="1" si="11"/>
        <v/>
      </c>
      <c r="AE22" s="23" t="str">
        <f t="shared" ca="1" si="11"/>
        <v/>
      </c>
      <c r="AF22" s="23" t="str">
        <f t="shared" ca="1" si="11"/>
        <v/>
      </c>
      <c r="AG22" s="23" t="str">
        <f t="shared" ca="1" si="11"/>
        <v/>
      </c>
      <c r="AH22" s="23" t="str">
        <f t="shared" ca="1" si="11"/>
        <v/>
      </c>
      <c r="AI22" s="23" t="str">
        <f t="shared" ca="1" si="11"/>
        <v/>
      </c>
      <c r="AJ22" s="23" t="str">
        <f t="shared" ca="1" si="11"/>
        <v/>
      </c>
      <c r="AK22" s="23" t="str">
        <f t="shared" ca="1" si="11"/>
        <v/>
      </c>
      <c r="AL22" s="23" t="str">
        <f t="shared" ca="1" si="11"/>
        <v/>
      </c>
      <c r="AM22" s="23" t="str">
        <f t="shared" ca="1" si="11"/>
        <v/>
      </c>
      <c r="AN22" s="23" t="str">
        <f t="shared" ca="1" si="12"/>
        <v/>
      </c>
      <c r="AO22" s="23" t="str">
        <f t="shared" ca="1" si="12"/>
        <v/>
      </c>
      <c r="AP22" s="23" t="str">
        <f t="shared" ca="1" si="12"/>
        <v/>
      </c>
      <c r="AQ22" s="23" t="str">
        <f t="shared" ca="1" si="12"/>
        <v/>
      </c>
      <c r="AR22" s="23" t="str">
        <f t="shared" ca="1" si="12"/>
        <v/>
      </c>
      <c r="AS22" s="23" t="str">
        <f t="shared" ca="1" si="12"/>
        <v/>
      </c>
      <c r="AT22" s="23" t="str">
        <f t="shared" ca="1" si="12"/>
        <v/>
      </c>
      <c r="AU22" s="23" t="str">
        <f t="shared" ca="1" si="12"/>
        <v/>
      </c>
      <c r="AV22" s="23" t="str">
        <f t="shared" ca="1" si="12"/>
        <v/>
      </c>
      <c r="AW22" s="23" t="str">
        <f t="shared" ca="1" si="12"/>
        <v/>
      </c>
      <c r="AX22" s="23" t="str">
        <f t="shared" ca="1" si="13"/>
        <v/>
      </c>
      <c r="AY22" s="23" t="str">
        <f t="shared" ca="1" si="13"/>
        <v/>
      </c>
      <c r="AZ22" s="23" t="str">
        <f t="shared" ca="1" si="13"/>
        <v/>
      </c>
      <c r="BA22" s="23" t="str">
        <f t="shared" ca="1" si="13"/>
        <v/>
      </c>
      <c r="BB22" s="23" t="str">
        <f t="shared" ca="1" si="13"/>
        <v/>
      </c>
      <c r="BC22" s="23" t="str">
        <f t="shared" ca="1" si="13"/>
        <v/>
      </c>
      <c r="BD22" s="23" t="str">
        <f t="shared" ca="1" si="13"/>
        <v/>
      </c>
      <c r="BE22" s="23" t="str">
        <f t="shared" ca="1" si="13"/>
        <v/>
      </c>
      <c r="BF22" s="23" t="str">
        <f t="shared" ca="1" si="13"/>
        <v/>
      </c>
      <c r="BG22" s="23" t="str">
        <f t="shared" ca="1" si="13"/>
        <v/>
      </c>
      <c r="BH22" s="23" t="str">
        <f t="shared" ca="1" si="13"/>
        <v/>
      </c>
      <c r="BI22" s="23" t="str">
        <f t="shared" ca="1" si="13"/>
        <v/>
      </c>
      <c r="BJ22" s="23" t="str">
        <f t="shared" ca="1" si="13"/>
        <v/>
      </c>
      <c r="BK22" s="23" t="str">
        <f t="shared" ca="1" si="13"/>
        <v/>
      </c>
      <c r="BL22" s="23" t="str">
        <f t="shared" ca="1" si="13"/>
        <v/>
      </c>
    </row>
    <row r="23" spans="1:64" s="1" customFormat="1" ht="40.15" customHeight="1" x14ac:dyDescent="0.25">
      <c r="A23" s="9"/>
      <c r="B23" s="98" t="s">
        <v>16</v>
      </c>
      <c r="C23" s="52"/>
      <c r="D23" s="52"/>
      <c r="E23" s="53"/>
      <c r="F23" s="54"/>
      <c r="G23" s="55"/>
      <c r="H23" s="52"/>
      <c r="I23" s="23" t="str">
        <f t="shared" ca="1" si="8"/>
        <v/>
      </c>
      <c r="J23" s="23" t="str">
        <f t="shared" ref="J23:S35" ca="1" si="14">IF(AND($C23="Objetivo",J$7&gt;=$F23,J$7&lt;=$F23+$G23-1),2,IF(AND($C23="Marco",J$7&gt;=$F23,J$7&lt;=$F23+$G23-1),1,""))</f>
        <v/>
      </c>
      <c r="K23" s="23" t="str">
        <f t="shared" ca="1" si="14"/>
        <v/>
      </c>
      <c r="L23" s="23" t="str">
        <f t="shared" ca="1" si="14"/>
        <v/>
      </c>
      <c r="M23" s="23" t="str">
        <f t="shared" ca="1" si="14"/>
        <v/>
      </c>
      <c r="N23" s="23" t="str">
        <f t="shared" ca="1" si="14"/>
        <v/>
      </c>
      <c r="O23" s="23" t="str">
        <f t="shared" ca="1" si="14"/>
        <v/>
      </c>
      <c r="P23" s="23" t="str">
        <f t="shared" ca="1" si="14"/>
        <v/>
      </c>
      <c r="Q23" s="23" t="str">
        <f t="shared" ca="1" si="14"/>
        <v/>
      </c>
      <c r="R23" s="23" t="str">
        <f t="shared" ca="1" si="14"/>
        <v/>
      </c>
      <c r="S23" s="23" t="str">
        <f t="shared" ca="1" si="14"/>
        <v/>
      </c>
      <c r="T23" s="23" t="str">
        <f t="shared" ref="T23:AC35" ca="1" si="15">IF(AND($C23="Objetivo",T$7&gt;=$F23,T$7&lt;=$F23+$G23-1),2,IF(AND($C23="Marco",T$7&gt;=$F23,T$7&lt;=$F23+$G23-1),1,""))</f>
        <v/>
      </c>
      <c r="U23" s="23" t="str">
        <f t="shared" ca="1" si="15"/>
        <v/>
      </c>
      <c r="V23" s="23" t="str">
        <f t="shared" ca="1" si="15"/>
        <v/>
      </c>
      <c r="W23" s="23" t="str">
        <f t="shared" ca="1" si="15"/>
        <v/>
      </c>
      <c r="X23" s="23" t="str">
        <f t="shared" ca="1" si="15"/>
        <v/>
      </c>
      <c r="Y23" s="23" t="str">
        <f t="shared" ca="1" si="15"/>
        <v/>
      </c>
      <c r="Z23" s="23" t="str">
        <f t="shared" ca="1" si="15"/>
        <v/>
      </c>
      <c r="AA23" s="23" t="str">
        <f t="shared" ca="1" si="15"/>
        <v/>
      </c>
      <c r="AB23" s="23" t="str">
        <f t="shared" ca="1" si="15"/>
        <v/>
      </c>
      <c r="AC23" s="23" t="str">
        <f t="shared" ca="1" si="15"/>
        <v/>
      </c>
      <c r="AD23" s="23" t="str">
        <f t="shared" ref="AD23:AM35" ca="1" si="16">IF(AND($C23="Objetivo",AD$7&gt;=$F23,AD$7&lt;=$F23+$G23-1),2,IF(AND($C23="Marco",AD$7&gt;=$F23,AD$7&lt;=$F23+$G23-1),1,""))</f>
        <v/>
      </c>
      <c r="AE23" s="23" t="str">
        <f t="shared" ca="1" si="16"/>
        <v/>
      </c>
      <c r="AF23" s="23" t="str">
        <f t="shared" ca="1" si="16"/>
        <v/>
      </c>
      <c r="AG23" s="23" t="str">
        <f t="shared" ca="1" si="16"/>
        <v/>
      </c>
      <c r="AH23" s="23" t="str">
        <f t="shared" ca="1" si="16"/>
        <v/>
      </c>
      <c r="AI23" s="23" t="str">
        <f t="shared" ca="1" si="16"/>
        <v/>
      </c>
      <c r="AJ23" s="23" t="str">
        <f t="shared" ca="1" si="16"/>
        <v/>
      </c>
      <c r="AK23" s="23" t="str">
        <f t="shared" ca="1" si="16"/>
        <v/>
      </c>
      <c r="AL23" s="23" t="str">
        <f t="shared" ca="1" si="16"/>
        <v/>
      </c>
      <c r="AM23" s="23" t="str">
        <f t="shared" ca="1" si="16"/>
        <v/>
      </c>
      <c r="AN23" s="23" t="str">
        <f t="shared" ref="AN23:AW35" ca="1" si="17">IF(AND($C23="Objetivo",AN$7&gt;=$F23,AN$7&lt;=$F23+$G23-1),2,IF(AND($C23="Marco",AN$7&gt;=$F23,AN$7&lt;=$F23+$G23-1),1,""))</f>
        <v/>
      </c>
      <c r="AO23" s="23" t="str">
        <f t="shared" ca="1" si="17"/>
        <v/>
      </c>
      <c r="AP23" s="23" t="str">
        <f t="shared" ca="1" si="17"/>
        <v/>
      </c>
      <c r="AQ23" s="23" t="str">
        <f t="shared" ca="1" si="17"/>
        <v/>
      </c>
      <c r="AR23" s="23" t="str">
        <f t="shared" ca="1" si="17"/>
        <v/>
      </c>
      <c r="AS23" s="23" t="str">
        <f t="shared" ca="1" si="17"/>
        <v/>
      </c>
      <c r="AT23" s="23" t="str">
        <f t="shared" ca="1" si="17"/>
        <v/>
      </c>
      <c r="AU23" s="23" t="str">
        <f t="shared" ca="1" si="17"/>
        <v/>
      </c>
      <c r="AV23" s="23" t="str">
        <f t="shared" ca="1" si="17"/>
        <v/>
      </c>
      <c r="AW23" s="23" t="str">
        <f t="shared" ca="1" si="17"/>
        <v/>
      </c>
      <c r="AX23" s="23" t="str">
        <f t="shared" ref="AX23:BL35" ca="1" si="18">IF(AND($C23="Objetivo",AX$7&gt;=$F23,AX$7&lt;=$F23+$G23-1),2,IF(AND($C23="Marco",AX$7&gt;=$F23,AX$7&lt;=$F23+$G23-1),1,""))</f>
        <v/>
      </c>
      <c r="AY23" s="23" t="str">
        <f t="shared" ca="1" si="18"/>
        <v/>
      </c>
      <c r="AZ23" s="23" t="str">
        <f t="shared" ca="1" si="18"/>
        <v/>
      </c>
      <c r="BA23" s="23" t="str">
        <f t="shared" ca="1" si="18"/>
        <v/>
      </c>
      <c r="BB23" s="23" t="str">
        <f t="shared" ca="1" si="18"/>
        <v/>
      </c>
      <c r="BC23" s="23" t="str">
        <f t="shared" ca="1" si="18"/>
        <v/>
      </c>
      <c r="BD23" s="23" t="str">
        <f t="shared" ca="1" si="18"/>
        <v/>
      </c>
      <c r="BE23" s="23" t="str">
        <f t="shared" ca="1" si="18"/>
        <v/>
      </c>
      <c r="BF23" s="23" t="str">
        <f t="shared" ca="1" si="18"/>
        <v/>
      </c>
      <c r="BG23" s="23" t="str">
        <f t="shared" ca="1" si="18"/>
        <v/>
      </c>
      <c r="BH23" s="23" t="str">
        <f t="shared" ca="1" si="18"/>
        <v/>
      </c>
      <c r="BI23" s="23" t="str">
        <f t="shared" ca="1" si="18"/>
        <v/>
      </c>
      <c r="BJ23" s="23" t="str">
        <f t="shared" ca="1" si="18"/>
        <v/>
      </c>
      <c r="BK23" s="23" t="str">
        <f t="shared" ca="1" si="18"/>
        <v/>
      </c>
      <c r="BL23" s="23" t="str">
        <f t="shared" ca="1" si="18"/>
        <v/>
      </c>
    </row>
    <row r="24" spans="1:64" s="1" customFormat="1" ht="40.15" customHeight="1" x14ac:dyDescent="0.25">
      <c r="A24" s="9"/>
      <c r="B24" s="56" t="s">
        <v>10</v>
      </c>
      <c r="C24" s="52" t="s">
        <v>25</v>
      </c>
      <c r="D24" s="52"/>
      <c r="E24" s="53"/>
      <c r="F24" s="54">
        <f ca="1">F12+15</f>
        <v>46191</v>
      </c>
      <c r="G24" s="55">
        <v>4</v>
      </c>
      <c r="H24" s="52"/>
      <c r="I24" s="23" t="str">
        <f t="shared" ca="1" si="8"/>
        <v/>
      </c>
      <c r="J24" s="23" t="str">
        <f t="shared" ca="1" si="14"/>
        <v/>
      </c>
      <c r="K24" s="23" t="str">
        <f t="shared" ca="1" si="14"/>
        <v/>
      </c>
      <c r="L24" s="23" t="str">
        <f t="shared" ca="1" si="14"/>
        <v/>
      </c>
      <c r="M24" s="23" t="str">
        <f t="shared" ca="1" si="14"/>
        <v/>
      </c>
      <c r="N24" s="23" t="str">
        <f t="shared" ca="1" si="14"/>
        <v/>
      </c>
      <c r="O24" s="23" t="str">
        <f t="shared" ca="1" si="14"/>
        <v/>
      </c>
      <c r="P24" s="23" t="str">
        <f t="shared" ca="1" si="14"/>
        <v/>
      </c>
      <c r="Q24" s="23" t="str">
        <f t="shared" ca="1" si="14"/>
        <v/>
      </c>
      <c r="R24" s="23" t="str">
        <f t="shared" ca="1" si="14"/>
        <v/>
      </c>
      <c r="S24" s="23" t="str">
        <f t="shared" ca="1" si="14"/>
        <v/>
      </c>
      <c r="T24" s="23" t="str">
        <f t="shared" ca="1" si="15"/>
        <v/>
      </c>
      <c r="U24" s="23" t="str">
        <f t="shared" ca="1" si="15"/>
        <v/>
      </c>
      <c r="V24" s="23" t="str">
        <f t="shared" ca="1" si="15"/>
        <v/>
      </c>
      <c r="W24" s="23" t="str">
        <f t="shared" ca="1" si="15"/>
        <v/>
      </c>
      <c r="X24" s="23" t="str">
        <f t="shared" ca="1" si="15"/>
        <v/>
      </c>
      <c r="Y24" s="23" t="str">
        <f t="shared" ca="1" si="15"/>
        <v/>
      </c>
      <c r="Z24" s="23" t="str">
        <f t="shared" ca="1" si="15"/>
        <v/>
      </c>
      <c r="AA24" s="23" t="str">
        <f t="shared" ca="1" si="15"/>
        <v/>
      </c>
      <c r="AB24" s="23" t="str">
        <f t="shared" ca="1" si="15"/>
        <v/>
      </c>
      <c r="AC24" s="23" t="str">
        <f t="shared" ca="1" si="15"/>
        <v/>
      </c>
      <c r="AD24" s="23" t="str">
        <f t="shared" ca="1" si="16"/>
        <v/>
      </c>
      <c r="AE24" s="23" t="str">
        <f t="shared" ca="1" si="16"/>
        <v/>
      </c>
      <c r="AF24" s="23" t="str">
        <f t="shared" ca="1" si="16"/>
        <v/>
      </c>
      <c r="AG24" s="23" t="str">
        <f t="shared" ca="1" si="16"/>
        <v/>
      </c>
      <c r="AH24" s="23" t="str">
        <f t="shared" ca="1" si="16"/>
        <v/>
      </c>
      <c r="AI24" s="23" t="str">
        <f t="shared" ca="1" si="16"/>
        <v/>
      </c>
      <c r="AJ24" s="23" t="str">
        <f t="shared" ca="1" si="16"/>
        <v/>
      </c>
      <c r="AK24" s="23" t="str">
        <f t="shared" ca="1" si="16"/>
        <v/>
      </c>
      <c r="AL24" s="23" t="str">
        <f t="shared" ca="1" si="16"/>
        <v/>
      </c>
      <c r="AM24" s="23" t="str">
        <f t="shared" ca="1" si="16"/>
        <v/>
      </c>
      <c r="AN24" s="23" t="str">
        <f t="shared" ca="1" si="17"/>
        <v/>
      </c>
      <c r="AO24" s="23" t="str">
        <f t="shared" ca="1" si="17"/>
        <v/>
      </c>
      <c r="AP24" s="23" t="str">
        <f t="shared" ca="1" si="17"/>
        <v/>
      </c>
      <c r="AQ24" s="23" t="str">
        <f t="shared" ca="1" si="17"/>
        <v/>
      </c>
      <c r="AR24" s="23" t="str">
        <f t="shared" ca="1" si="17"/>
        <v/>
      </c>
      <c r="AS24" s="23" t="str">
        <f t="shared" ca="1" si="17"/>
        <v/>
      </c>
      <c r="AT24" s="23" t="str">
        <f t="shared" ca="1" si="17"/>
        <v/>
      </c>
      <c r="AU24" s="23" t="str">
        <f t="shared" ca="1" si="17"/>
        <v/>
      </c>
      <c r="AV24" s="23" t="str">
        <f t="shared" ca="1" si="17"/>
        <v/>
      </c>
      <c r="AW24" s="23" t="str">
        <f t="shared" ca="1" si="17"/>
        <v/>
      </c>
      <c r="AX24" s="23" t="str">
        <f t="shared" ca="1" si="18"/>
        <v/>
      </c>
      <c r="AY24" s="23" t="str">
        <f t="shared" ca="1" si="18"/>
        <v/>
      </c>
      <c r="AZ24" s="23" t="str">
        <f t="shared" ca="1" si="18"/>
        <v/>
      </c>
      <c r="BA24" s="23" t="str">
        <f t="shared" ca="1" si="18"/>
        <v/>
      </c>
      <c r="BB24" s="23" t="str">
        <f t="shared" ca="1" si="18"/>
        <v/>
      </c>
      <c r="BC24" s="23" t="str">
        <f t="shared" ca="1" si="18"/>
        <v/>
      </c>
      <c r="BD24" s="23" t="str">
        <f t="shared" ca="1" si="18"/>
        <v/>
      </c>
      <c r="BE24" s="23" t="str">
        <f t="shared" ca="1" si="18"/>
        <v/>
      </c>
      <c r="BF24" s="23" t="str">
        <f t="shared" ca="1" si="18"/>
        <v/>
      </c>
      <c r="BG24" s="23" t="str">
        <f t="shared" ca="1" si="18"/>
        <v/>
      </c>
      <c r="BH24" s="23" t="str">
        <f t="shared" ca="1" si="18"/>
        <v/>
      </c>
      <c r="BI24" s="23" t="str">
        <f t="shared" ca="1" si="18"/>
        <v/>
      </c>
      <c r="BJ24" s="23" t="str">
        <f t="shared" ca="1" si="18"/>
        <v/>
      </c>
      <c r="BK24" s="23" t="str">
        <f t="shared" ca="1" si="18"/>
        <v/>
      </c>
      <c r="BL24" s="23" t="str">
        <f t="shared" ca="1" si="18"/>
        <v/>
      </c>
    </row>
    <row r="25" spans="1:64" s="1" customFormat="1" ht="40.15" customHeight="1" x14ac:dyDescent="0.25">
      <c r="A25" s="9"/>
      <c r="B25" s="56" t="s">
        <v>11</v>
      </c>
      <c r="C25" s="52" t="s">
        <v>23</v>
      </c>
      <c r="D25" s="52"/>
      <c r="E25" s="53"/>
      <c r="F25" s="54">
        <f ca="1">F24+3</f>
        <v>46194</v>
      </c>
      <c r="G25" s="55">
        <v>14</v>
      </c>
      <c r="H25" s="52"/>
      <c r="I25" s="23" t="str">
        <f t="shared" ca="1" si="8"/>
        <v/>
      </c>
      <c r="J25" s="23" t="str">
        <f t="shared" ca="1" si="14"/>
        <v/>
      </c>
      <c r="K25" s="23" t="str">
        <f t="shared" ca="1" si="14"/>
        <v/>
      </c>
      <c r="L25" s="23" t="str">
        <f t="shared" ca="1" si="14"/>
        <v/>
      </c>
      <c r="M25" s="23" t="str">
        <f t="shared" ca="1" si="14"/>
        <v/>
      </c>
      <c r="N25" s="23" t="str">
        <f t="shared" ca="1" si="14"/>
        <v/>
      </c>
      <c r="O25" s="23" t="str">
        <f t="shared" ca="1" si="14"/>
        <v/>
      </c>
      <c r="P25" s="23" t="str">
        <f t="shared" ca="1" si="14"/>
        <v/>
      </c>
      <c r="Q25" s="23" t="str">
        <f t="shared" ca="1" si="14"/>
        <v/>
      </c>
      <c r="R25" s="23" t="str">
        <f t="shared" ca="1" si="14"/>
        <v/>
      </c>
      <c r="S25" s="23" t="str">
        <f t="shared" ca="1" si="14"/>
        <v/>
      </c>
      <c r="T25" s="23" t="str">
        <f t="shared" ca="1" si="15"/>
        <v/>
      </c>
      <c r="U25" s="23" t="str">
        <f t="shared" ca="1" si="15"/>
        <v/>
      </c>
      <c r="V25" s="23" t="str">
        <f t="shared" ca="1" si="15"/>
        <v/>
      </c>
      <c r="W25" s="23" t="str">
        <f t="shared" ca="1" si="15"/>
        <v/>
      </c>
      <c r="X25" s="23" t="str">
        <f t="shared" ca="1" si="15"/>
        <v/>
      </c>
      <c r="Y25" s="23" t="str">
        <f t="shared" ca="1" si="15"/>
        <v/>
      </c>
      <c r="Z25" s="23" t="str">
        <f t="shared" ca="1" si="15"/>
        <v/>
      </c>
      <c r="AA25" s="23" t="str">
        <f t="shared" ca="1" si="15"/>
        <v/>
      </c>
      <c r="AB25" s="23" t="str">
        <f t="shared" ca="1" si="15"/>
        <v/>
      </c>
      <c r="AC25" s="23" t="str">
        <f t="shared" ca="1" si="15"/>
        <v/>
      </c>
      <c r="AD25" s="23" t="str">
        <f t="shared" ca="1" si="16"/>
        <v/>
      </c>
      <c r="AE25" s="23" t="str">
        <f t="shared" ca="1" si="16"/>
        <v/>
      </c>
      <c r="AF25" s="23" t="str">
        <f t="shared" ca="1" si="16"/>
        <v/>
      </c>
      <c r="AG25" s="23" t="str">
        <f t="shared" ca="1" si="16"/>
        <v/>
      </c>
      <c r="AH25" s="23" t="str">
        <f t="shared" ca="1" si="16"/>
        <v/>
      </c>
      <c r="AI25" s="23" t="str">
        <f t="shared" ca="1" si="16"/>
        <v/>
      </c>
      <c r="AJ25" s="23" t="str">
        <f t="shared" ca="1" si="16"/>
        <v/>
      </c>
      <c r="AK25" s="23" t="str">
        <f t="shared" ca="1" si="16"/>
        <v/>
      </c>
      <c r="AL25" s="23" t="str">
        <f t="shared" ca="1" si="16"/>
        <v/>
      </c>
      <c r="AM25" s="23" t="str">
        <f t="shared" ca="1" si="16"/>
        <v/>
      </c>
      <c r="AN25" s="23" t="str">
        <f t="shared" ca="1" si="17"/>
        <v/>
      </c>
      <c r="AO25" s="23" t="str">
        <f t="shared" ca="1" si="17"/>
        <v/>
      </c>
      <c r="AP25" s="23" t="str">
        <f t="shared" ca="1" si="17"/>
        <v/>
      </c>
      <c r="AQ25" s="23" t="str">
        <f t="shared" ca="1" si="17"/>
        <v/>
      </c>
      <c r="AR25" s="23" t="str">
        <f t="shared" ca="1" si="17"/>
        <v/>
      </c>
      <c r="AS25" s="23" t="str">
        <f t="shared" ca="1" si="17"/>
        <v/>
      </c>
      <c r="AT25" s="23" t="str">
        <f t="shared" ca="1" si="17"/>
        <v/>
      </c>
      <c r="AU25" s="23" t="str">
        <f t="shared" ca="1" si="17"/>
        <v/>
      </c>
      <c r="AV25" s="23" t="str">
        <f t="shared" ca="1" si="17"/>
        <v/>
      </c>
      <c r="AW25" s="23" t="str">
        <f t="shared" ca="1" si="17"/>
        <v/>
      </c>
      <c r="AX25" s="23" t="str">
        <f t="shared" ca="1" si="18"/>
        <v/>
      </c>
      <c r="AY25" s="23" t="str">
        <f t="shared" ca="1" si="18"/>
        <v/>
      </c>
      <c r="AZ25" s="23" t="str">
        <f t="shared" ca="1" si="18"/>
        <v/>
      </c>
      <c r="BA25" s="23" t="str">
        <f t="shared" ca="1" si="18"/>
        <v/>
      </c>
      <c r="BB25" s="23" t="str">
        <f t="shared" ca="1" si="18"/>
        <v/>
      </c>
      <c r="BC25" s="23" t="str">
        <f t="shared" ca="1" si="18"/>
        <v/>
      </c>
      <c r="BD25" s="23" t="str">
        <f t="shared" ca="1" si="18"/>
        <v/>
      </c>
      <c r="BE25" s="23" t="str">
        <f t="shared" ca="1" si="18"/>
        <v/>
      </c>
      <c r="BF25" s="23" t="str">
        <f t="shared" ca="1" si="18"/>
        <v/>
      </c>
      <c r="BG25" s="23" t="str">
        <f t="shared" ca="1" si="18"/>
        <v/>
      </c>
      <c r="BH25" s="23" t="str">
        <f t="shared" ca="1" si="18"/>
        <v/>
      </c>
      <c r="BI25" s="23" t="str">
        <f t="shared" ca="1" si="18"/>
        <v/>
      </c>
      <c r="BJ25" s="23" t="str">
        <f t="shared" ca="1" si="18"/>
        <v/>
      </c>
      <c r="BK25" s="23" t="str">
        <f t="shared" ca="1" si="18"/>
        <v/>
      </c>
      <c r="BL25" s="23" t="str">
        <f t="shared" ca="1" si="18"/>
        <v/>
      </c>
    </row>
    <row r="26" spans="1:64" s="1" customFormat="1" ht="40.15" customHeight="1" x14ac:dyDescent="0.25">
      <c r="A26" s="9"/>
      <c r="B26" s="56" t="s">
        <v>12</v>
      </c>
      <c r="C26" s="52" t="s">
        <v>25</v>
      </c>
      <c r="D26" s="52"/>
      <c r="E26" s="53"/>
      <c r="F26" s="54">
        <f ca="1">F25+15</f>
        <v>46209</v>
      </c>
      <c r="G26" s="55">
        <v>6</v>
      </c>
      <c r="H26" s="52"/>
      <c r="I26" s="23" t="str">
        <f t="shared" ca="1" si="8"/>
        <v/>
      </c>
      <c r="J26" s="23" t="str">
        <f t="shared" ca="1" si="14"/>
        <v/>
      </c>
      <c r="K26" s="23" t="str">
        <f t="shared" ca="1" si="14"/>
        <v/>
      </c>
      <c r="L26" s="23" t="str">
        <f t="shared" ca="1" si="14"/>
        <v/>
      </c>
      <c r="M26" s="23" t="str">
        <f t="shared" ca="1" si="14"/>
        <v/>
      </c>
      <c r="N26" s="23" t="str">
        <f t="shared" ca="1" si="14"/>
        <v/>
      </c>
      <c r="O26" s="23" t="str">
        <f t="shared" ca="1" si="14"/>
        <v/>
      </c>
      <c r="P26" s="23" t="str">
        <f t="shared" ca="1" si="14"/>
        <v/>
      </c>
      <c r="Q26" s="23" t="str">
        <f t="shared" ca="1" si="14"/>
        <v/>
      </c>
      <c r="R26" s="23" t="str">
        <f t="shared" ca="1" si="14"/>
        <v/>
      </c>
      <c r="S26" s="23" t="str">
        <f t="shared" ca="1" si="14"/>
        <v/>
      </c>
      <c r="T26" s="23" t="str">
        <f t="shared" ca="1" si="15"/>
        <v/>
      </c>
      <c r="U26" s="23" t="str">
        <f t="shared" ca="1" si="15"/>
        <v/>
      </c>
      <c r="V26" s="23" t="str">
        <f t="shared" ca="1" si="15"/>
        <v/>
      </c>
      <c r="W26" s="23" t="str">
        <f t="shared" ca="1" si="15"/>
        <v/>
      </c>
      <c r="X26" s="23" t="str">
        <f t="shared" ca="1" si="15"/>
        <v/>
      </c>
      <c r="Y26" s="23" t="str">
        <f t="shared" ca="1" si="15"/>
        <v/>
      </c>
      <c r="Z26" s="23" t="str">
        <f t="shared" ca="1" si="15"/>
        <v/>
      </c>
      <c r="AA26" s="23" t="str">
        <f t="shared" ca="1" si="15"/>
        <v/>
      </c>
      <c r="AB26" s="23" t="str">
        <f t="shared" ca="1" si="15"/>
        <v/>
      </c>
      <c r="AC26" s="23" t="str">
        <f t="shared" ca="1" si="15"/>
        <v/>
      </c>
      <c r="AD26" s="23" t="str">
        <f t="shared" ca="1" si="16"/>
        <v/>
      </c>
      <c r="AE26" s="23" t="str">
        <f t="shared" ca="1" si="16"/>
        <v/>
      </c>
      <c r="AF26" s="23" t="str">
        <f t="shared" ca="1" si="16"/>
        <v/>
      </c>
      <c r="AG26" s="23" t="str">
        <f t="shared" ca="1" si="16"/>
        <v/>
      </c>
      <c r="AH26" s="23" t="str">
        <f t="shared" ca="1" si="16"/>
        <v/>
      </c>
      <c r="AI26" s="23" t="str">
        <f t="shared" ca="1" si="16"/>
        <v/>
      </c>
      <c r="AJ26" s="23" t="str">
        <f t="shared" ca="1" si="16"/>
        <v/>
      </c>
      <c r="AK26" s="23" t="str">
        <f t="shared" ca="1" si="16"/>
        <v/>
      </c>
      <c r="AL26" s="23" t="str">
        <f t="shared" ca="1" si="16"/>
        <v/>
      </c>
      <c r="AM26" s="23" t="str">
        <f t="shared" ca="1" si="16"/>
        <v/>
      </c>
      <c r="AN26" s="23" t="str">
        <f t="shared" ca="1" si="17"/>
        <v/>
      </c>
      <c r="AO26" s="23" t="str">
        <f t="shared" ca="1" si="17"/>
        <v/>
      </c>
      <c r="AP26" s="23" t="str">
        <f t="shared" ca="1" si="17"/>
        <v/>
      </c>
      <c r="AQ26" s="23" t="str">
        <f t="shared" ca="1" si="17"/>
        <v/>
      </c>
      <c r="AR26" s="23" t="str">
        <f t="shared" ca="1" si="17"/>
        <v/>
      </c>
      <c r="AS26" s="23" t="str">
        <f t="shared" ca="1" si="17"/>
        <v/>
      </c>
      <c r="AT26" s="23" t="str">
        <f t="shared" ca="1" si="17"/>
        <v/>
      </c>
      <c r="AU26" s="23" t="str">
        <f t="shared" ca="1" si="17"/>
        <v/>
      </c>
      <c r="AV26" s="23" t="str">
        <f t="shared" ca="1" si="17"/>
        <v/>
      </c>
      <c r="AW26" s="23" t="str">
        <f t="shared" ca="1" si="17"/>
        <v/>
      </c>
      <c r="AX26" s="23" t="str">
        <f t="shared" ca="1" si="18"/>
        <v/>
      </c>
      <c r="AY26" s="23" t="str">
        <f t="shared" ca="1" si="18"/>
        <v/>
      </c>
      <c r="AZ26" s="23" t="str">
        <f t="shared" ca="1" si="18"/>
        <v/>
      </c>
      <c r="BA26" s="23" t="str">
        <f t="shared" ca="1" si="18"/>
        <v/>
      </c>
      <c r="BB26" s="23" t="str">
        <f t="shared" ca="1" si="18"/>
        <v/>
      </c>
      <c r="BC26" s="23" t="str">
        <f t="shared" ca="1" si="18"/>
        <v/>
      </c>
      <c r="BD26" s="23" t="str">
        <f t="shared" ca="1" si="18"/>
        <v/>
      </c>
      <c r="BE26" s="23" t="str">
        <f t="shared" ca="1" si="18"/>
        <v/>
      </c>
      <c r="BF26" s="23" t="str">
        <f t="shared" ca="1" si="18"/>
        <v/>
      </c>
      <c r="BG26" s="23" t="str">
        <f t="shared" ca="1" si="18"/>
        <v/>
      </c>
      <c r="BH26" s="23" t="str">
        <f t="shared" ca="1" si="18"/>
        <v/>
      </c>
      <c r="BI26" s="23" t="str">
        <f t="shared" ca="1" si="18"/>
        <v/>
      </c>
      <c r="BJ26" s="23" t="str">
        <f t="shared" ca="1" si="18"/>
        <v/>
      </c>
      <c r="BK26" s="23" t="str">
        <f t="shared" ca="1" si="18"/>
        <v/>
      </c>
      <c r="BL26" s="23" t="str">
        <f t="shared" ca="1" si="18"/>
        <v/>
      </c>
    </row>
    <row r="27" spans="1:64" s="1" customFormat="1" ht="40.15" customHeight="1" x14ac:dyDescent="0.25">
      <c r="A27" s="9"/>
      <c r="B27" s="56" t="s">
        <v>13</v>
      </c>
      <c r="C27" s="52" t="s">
        <v>20</v>
      </c>
      <c r="D27" s="52"/>
      <c r="E27" s="53"/>
      <c r="F27" s="54">
        <f ca="1">F21+22</f>
        <v>46213</v>
      </c>
      <c r="G27" s="55">
        <v>3</v>
      </c>
      <c r="H27" s="52"/>
      <c r="I27" s="23" t="str">
        <f t="shared" ca="1" si="8"/>
        <v/>
      </c>
      <c r="J27" s="23" t="str">
        <f t="shared" ca="1" si="14"/>
        <v/>
      </c>
      <c r="K27" s="23" t="str">
        <f t="shared" ca="1" si="14"/>
        <v/>
      </c>
      <c r="L27" s="23" t="str">
        <f t="shared" ca="1" si="14"/>
        <v/>
      </c>
      <c r="M27" s="23" t="str">
        <f t="shared" ca="1" si="14"/>
        <v/>
      </c>
      <c r="N27" s="23" t="str">
        <f t="shared" ca="1" si="14"/>
        <v/>
      </c>
      <c r="O27" s="23" t="str">
        <f t="shared" ca="1" si="14"/>
        <v/>
      </c>
      <c r="P27" s="23" t="str">
        <f t="shared" ca="1" si="14"/>
        <v/>
      </c>
      <c r="Q27" s="23" t="str">
        <f t="shared" ca="1" si="14"/>
        <v/>
      </c>
      <c r="R27" s="23" t="str">
        <f t="shared" ca="1" si="14"/>
        <v/>
      </c>
      <c r="S27" s="23" t="str">
        <f t="shared" ca="1" si="14"/>
        <v/>
      </c>
      <c r="T27" s="23" t="str">
        <f t="shared" ca="1" si="15"/>
        <v/>
      </c>
      <c r="U27" s="23" t="str">
        <f t="shared" ca="1" si="15"/>
        <v/>
      </c>
      <c r="V27" s="23" t="str">
        <f t="shared" ca="1" si="15"/>
        <v/>
      </c>
      <c r="W27" s="23" t="str">
        <f t="shared" ca="1" si="15"/>
        <v/>
      </c>
      <c r="X27" s="23" t="str">
        <f t="shared" ca="1" si="15"/>
        <v/>
      </c>
      <c r="Y27" s="23" t="str">
        <f t="shared" ca="1" si="15"/>
        <v/>
      </c>
      <c r="Z27" s="23" t="str">
        <f t="shared" ca="1" si="15"/>
        <v/>
      </c>
      <c r="AA27" s="23" t="str">
        <f t="shared" ca="1" si="15"/>
        <v/>
      </c>
      <c r="AB27" s="23" t="str">
        <f t="shared" ca="1" si="15"/>
        <v/>
      </c>
      <c r="AC27" s="23" t="str">
        <f t="shared" ca="1" si="15"/>
        <v/>
      </c>
      <c r="AD27" s="23" t="str">
        <f t="shared" ca="1" si="16"/>
        <v/>
      </c>
      <c r="AE27" s="23" t="str">
        <f t="shared" ca="1" si="16"/>
        <v/>
      </c>
      <c r="AF27" s="23" t="str">
        <f t="shared" ca="1" si="16"/>
        <v/>
      </c>
      <c r="AG27" s="23" t="str">
        <f t="shared" ca="1" si="16"/>
        <v/>
      </c>
      <c r="AH27" s="23" t="str">
        <f t="shared" ca="1" si="16"/>
        <v/>
      </c>
      <c r="AI27" s="23" t="str">
        <f t="shared" ca="1" si="16"/>
        <v/>
      </c>
      <c r="AJ27" s="23" t="str">
        <f t="shared" ca="1" si="16"/>
        <v/>
      </c>
      <c r="AK27" s="23" t="str">
        <f t="shared" ca="1" si="16"/>
        <v/>
      </c>
      <c r="AL27" s="23" t="str">
        <f t="shared" ca="1" si="16"/>
        <v/>
      </c>
      <c r="AM27" s="23" t="str">
        <f t="shared" ca="1" si="16"/>
        <v/>
      </c>
      <c r="AN27" s="23" t="str">
        <f t="shared" ca="1" si="17"/>
        <v/>
      </c>
      <c r="AO27" s="23" t="str">
        <f t="shared" ca="1" si="17"/>
        <v/>
      </c>
      <c r="AP27" s="23" t="str">
        <f t="shared" ca="1" si="17"/>
        <v/>
      </c>
      <c r="AQ27" s="23" t="str">
        <f t="shared" ca="1" si="17"/>
        <v/>
      </c>
      <c r="AR27" s="23" t="str">
        <f t="shared" ca="1" si="17"/>
        <v/>
      </c>
      <c r="AS27" s="23">
        <f t="shared" ca="1" si="17"/>
        <v>2</v>
      </c>
      <c r="AT27" s="23">
        <f t="shared" ca="1" si="17"/>
        <v>2</v>
      </c>
      <c r="AU27" s="23">
        <f t="shared" ca="1" si="17"/>
        <v>2</v>
      </c>
      <c r="AV27" s="23" t="str">
        <f t="shared" ca="1" si="17"/>
        <v/>
      </c>
      <c r="AW27" s="23" t="str">
        <f t="shared" ca="1" si="17"/>
        <v/>
      </c>
      <c r="AX27" s="23" t="str">
        <f t="shared" ca="1" si="18"/>
        <v/>
      </c>
      <c r="AY27" s="23" t="str">
        <f t="shared" ca="1" si="18"/>
        <v/>
      </c>
      <c r="AZ27" s="23" t="str">
        <f t="shared" ca="1" si="18"/>
        <v/>
      </c>
      <c r="BA27" s="23" t="str">
        <f t="shared" ca="1" si="18"/>
        <v/>
      </c>
      <c r="BB27" s="23" t="str">
        <f t="shared" ca="1" si="18"/>
        <v/>
      </c>
      <c r="BC27" s="23" t="str">
        <f t="shared" ca="1" si="18"/>
        <v/>
      </c>
      <c r="BD27" s="23" t="str">
        <f t="shared" ca="1" si="18"/>
        <v/>
      </c>
      <c r="BE27" s="23" t="str">
        <f t="shared" ca="1" si="18"/>
        <v/>
      </c>
      <c r="BF27" s="23" t="str">
        <f t="shared" ca="1" si="18"/>
        <v/>
      </c>
      <c r="BG27" s="23" t="str">
        <f t="shared" ca="1" si="18"/>
        <v/>
      </c>
      <c r="BH27" s="23" t="str">
        <f t="shared" ca="1" si="18"/>
        <v/>
      </c>
      <c r="BI27" s="23" t="str">
        <f t="shared" ca="1" si="18"/>
        <v/>
      </c>
      <c r="BJ27" s="23" t="str">
        <f t="shared" ca="1" si="18"/>
        <v/>
      </c>
      <c r="BK27" s="23" t="str">
        <f t="shared" ca="1" si="18"/>
        <v/>
      </c>
      <c r="BL27" s="23" t="str">
        <f t="shared" ca="1" si="18"/>
        <v/>
      </c>
    </row>
    <row r="28" spans="1:64" s="1" customFormat="1" ht="40.15" customHeight="1" x14ac:dyDescent="0.25">
      <c r="A28" s="9"/>
      <c r="B28" s="56" t="s">
        <v>14</v>
      </c>
      <c r="C28" s="52" t="s">
        <v>22</v>
      </c>
      <c r="D28" s="52"/>
      <c r="E28" s="53"/>
      <c r="F28" s="54">
        <f ca="1">F16</f>
        <v>46182</v>
      </c>
      <c r="G28" s="55">
        <v>19</v>
      </c>
      <c r="H28" s="52"/>
      <c r="I28" s="23" t="str">
        <f t="shared" ca="1" si="8"/>
        <v/>
      </c>
      <c r="J28" s="23" t="str">
        <f t="shared" ca="1" si="14"/>
        <v/>
      </c>
      <c r="K28" s="23" t="str">
        <f t="shared" ca="1" si="14"/>
        <v/>
      </c>
      <c r="L28" s="23" t="str">
        <f t="shared" ca="1" si="14"/>
        <v/>
      </c>
      <c r="M28" s="23" t="str">
        <f t="shared" ca="1" si="14"/>
        <v/>
      </c>
      <c r="N28" s="23" t="str">
        <f t="shared" ca="1" si="14"/>
        <v/>
      </c>
      <c r="O28" s="23" t="str">
        <f t="shared" ca="1" si="14"/>
        <v/>
      </c>
      <c r="P28" s="23" t="str">
        <f t="shared" ca="1" si="14"/>
        <v/>
      </c>
      <c r="Q28" s="23" t="str">
        <f t="shared" ca="1" si="14"/>
        <v/>
      </c>
      <c r="R28" s="23" t="str">
        <f t="shared" ca="1" si="14"/>
        <v/>
      </c>
      <c r="S28" s="23" t="str">
        <f t="shared" ca="1" si="14"/>
        <v/>
      </c>
      <c r="T28" s="23" t="str">
        <f t="shared" ca="1" si="15"/>
        <v/>
      </c>
      <c r="U28" s="23" t="str">
        <f t="shared" ca="1" si="15"/>
        <v/>
      </c>
      <c r="V28" s="23" t="str">
        <f t="shared" ca="1" si="15"/>
        <v/>
      </c>
      <c r="W28" s="23" t="str">
        <f t="shared" ca="1" si="15"/>
        <v/>
      </c>
      <c r="X28" s="23" t="str">
        <f t="shared" ca="1" si="15"/>
        <v/>
      </c>
      <c r="Y28" s="23" t="str">
        <f t="shared" ca="1" si="15"/>
        <v/>
      </c>
      <c r="Z28" s="23" t="str">
        <f t="shared" ca="1" si="15"/>
        <v/>
      </c>
      <c r="AA28" s="23" t="str">
        <f t="shared" ca="1" si="15"/>
        <v/>
      </c>
      <c r="AB28" s="23" t="str">
        <f t="shared" ca="1" si="15"/>
        <v/>
      </c>
      <c r="AC28" s="23" t="str">
        <f t="shared" ca="1" si="15"/>
        <v/>
      </c>
      <c r="AD28" s="23" t="str">
        <f t="shared" ca="1" si="16"/>
        <v/>
      </c>
      <c r="AE28" s="23" t="str">
        <f t="shared" ca="1" si="16"/>
        <v/>
      </c>
      <c r="AF28" s="23" t="str">
        <f t="shared" ca="1" si="16"/>
        <v/>
      </c>
      <c r="AG28" s="23" t="str">
        <f t="shared" ca="1" si="16"/>
        <v/>
      </c>
      <c r="AH28" s="23" t="str">
        <f t="shared" ca="1" si="16"/>
        <v/>
      </c>
      <c r="AI28" s="23" t="str">
        <f t="shared" ca="1" si="16"/>
        <v/>
      </c>
      <c r="AJ28" s="23" t="str">
        <f t="shared" ca="1" si="16"/>
        <v/>
      </c>
      <c r="AK28" s="23" t="str">
        <f t="shared" ca="1" si="16"/>
        <v/>
      </c>
      <c r="AL28" s="23" t="str">
        <f t="shared" ca="1" si="16"/>
        <v/>
      </c>
      <c r="AM28" s="23" t="str">
        <f t="shared" ca="1" si="16"/>
        <v/>
      </c>
      <c r="AN28" s="23" t="str">
        <f t="shared" ca="1" si="17"/>
        <v/>
      </c>
      <c r="AO28" s="23" t="str">
        <f t="shared" ca="1" si="17"/>
        <v/>
      </c>
      <c r="AP28" s="23" t="str">
        <f t="shared" ca="1" si="17"/>
        <v/>
      </c>
      <c r="AQ28" s="23" t="str">
        <f t="shared" ca="1" si="17"/>
        <v/>
      </c>
      <c r="AR28" s="23" t="str">
        <f t="shared" ca="1" si="17"/>
        <v/>
      </c>
      <c r="AS28" s="23" t="str">
        <f t="shared" ca="1" si="17"/>
        <v/>
      </c>
      <c r="AT28" s="23" t="str">
        <f t="shared" ca="1" si="17"/>
        <v/>
      </c>
      <c r="AU28" s="23" t="str">
        <f t="shared" ca="1" si="17"/>
        <v/>
      </c>
      <c r="AV28" s="23" t="str">
        <f t="shared" ca="1" si="17"/>
        <v/>
      </c>
      <c r="AW28" s="23" t="str">
        <f t="shared" ca="1" si="17"/>
        <v/>
      </c>
      <c r="AX28" s="23" t="str">
        <f t="shared" ca="1" si="18"/>
        <v/>
      </c>
      <c r="AY28" s="23" t="str">
        <f t="shared" ca="1" si="18"/>
        <v/>
      </c>
      <c r="AZ28" s="23" t="str">
        <f t="shared" ca="1" si="18"/>
        <v/>
      </c>
      <c r="BA28" s="23" t="str">
        <f t="shared" ca="1" si="18"/>
        <v/>
      </c>
      <c r="BB28" s="23" t="str">
        <f t="shared" ca="1" si="18"/>
        <v/>
      </c>
      <c r="BC28" s="23" t="str">
        <f t="shared" ca="1" si="18"/>
        <v/>
      </c>
      <c r="BD28" s="23" t="str">
        <f t="shared" ca="1" si="18"/>
        <v/>
      </c>
      <c r="BE28" s="23" t="str">
        <f t="shared" ca="1" si="18"/>
        <v/>
      </c>
      <c r="BF28" s="23" t="str">
        <f t="shared" ca="1" si="18"/>
        <v/>
      </c>
      <c r="BG28" s="23" t="str">
        <f t="shared" ca="1" si="18"/>
        <v/>
      </c>
      <c r="BH28" s="23" t="str">
        <f t="shared" ca="1" si="18"/>
        <v/>
      </c>
      <c r="BI28" s="23" t="str">
        <f t="shared" ca="1" si="18"/>
        <v/>
      </c>
      <c r="BJ28" s="23" t="str">
        <f t="shared" ca="1" si="18"/>
        <v/>
      </c>
      <c r="BK28" s="23" t="str">
        <f t="shared" ca="1" si="18"/>
        <v/>
      </c>
      <c r="BL28" s="23" t="str">
        <f t="shared" ca="1" si="18"/>
        <v/>
      </c>
    </row>
    <row r="29" spans="1:64" s="1" customFormat="1" ht="40.15" customHeight="1" x14ac:dyDescent="0.25">
      <c r="A29" s="9"/>
      <c r="B29" s="98" t="s">
        <v>17</v>
      </c>
      <c r="C29" s="52"/>
      <c r="D29" s="52"/>
      <c r="E29" s="53"/>
      <c r="F29" s="54"/>
      <c r="G29" s="55"/>
      <c r="H29" s="52"/>
      <c r="I29" s="23" t="str">
        <f t="shared" ca="1" si="8"/>
        <v/>
      </c>
      <c r="J29" s="23" t="str">
        <f t="shared" ca="1" si="14"/>
        <v/>
      </c>
      <c r="K29" s="23" t="str">
        <f t="shared" ca="1" si="14"/>
        <v/>
      </c>
      <c r="L29" s="23" t="str">
        <f t="shared" ca="1" si="14"/>
        <v/>
      </c>
      <c r="M29" s="23" t="str">
        <f t="shared" ca="1" si="14"/>
        <v/>
      </c>
      <c r="N29" s="23" t="str">
        <f t="shared" ca="1" si="14"/>
        <v/>
      </c>
      <c r="O29" s="23" t="str">
        <f t="shared" ca="1" si="14"/>
        <v/>
      </c>
      <c r="P29" s="23" t="str">
        <f t="shared" ca="1" si="14"/>
        <v/>
      </c>
      <c r="Q29" s="23" t="str">
        <f t="shared" ca="1" si="14"/>
        <v/>
      </c>
      <c r="R29" s="23" t="str">
        <f t="shared" ca="1" si="14"/>
        <v/>
      </c>
      <c r="S29" s="23" t="str">
        <f t="shared" ca="1" si="14"/>
        <v/>
      </c>
      <c r="T29" s="23" t="str">
        <f t="shared" ca="1" si="15"/>
        <v/>
      </c>
      <c r="U29" s="23" t="str">
        <f t="shared" ca="1" si="15"/>
        <v/>
      </c>
      <c r="V29" s="23" t="str">
        <f t="shared" ca="1" si="15"/>
        <v/>
      </c>
      <c r="W29" s="23" t="str">
        <f t="shared" ca="1" si="15"/>
        <v/>
      </c>
      <c r="X29" s="23" t="str">
        <f t="shared" ca="1" si="15"/>
        <v/>
      </c>
      <c r="Y29" s="23" t="str">
        <f t="shared" ca="1" si="15"/>
        <v/>
      </c>
      <c r="Z29" s="23" t="str">
        <f t="shared" ca="1" si="15"/>
        <v/>
      </c>
      <c r="AA29" s="23" t="str">
        <f t="shared" ca="1" si="15"/>
        <v/>
      </c>
      <c r="AB29" s="23" t="str">
        <f t="shared" ca="1" si="15"/>
        <v/>
      </c>
      <c r="AC29" s="23" t="str">
        <f t="shared" ca="1" si="15"/>
        <v/>
      </c>
      <c r="AD29" s="23" t="str">
        <f t="shared" ca="1" si="16"/>
        <v/>
      </c>
      <c r="AE29" s="23" t="str">
        <f t="shared" ca="1" si="16"/>
        <v/>
      </c>
      <c r="AF29" s="23" t="str">
        <f t="shared" ca="1" si="16"/>
        <v/>
      </c>
      <c r="AG29" s="23" t="str">
        <f t="shared" ca="1" si="16"/>
        <v/>
      </c>
      <c r="AH29" s="23" t="str">
        <f t="shared" ca="1" si="16"/>
        <v/>
      </c>
      <c r="AI29" s="23" t="str">
        <f t="shared" ca="1" si="16"/>
        <v/>
      </c>
      <c r="AJ29" s="23" t="str">
        <f t="shared" ca="1" si="16"/>
        <v/>
      </c>
      <c r="AK29" s="23" t="str">
        <f t="shared" ca="1" si="16"/>
        <v/>
      </c>
      <c r="AL29" s="23" t="str">
        <f t="shared" ca="1" si="16"/>
        <v/>
      </c>
      <c r="AM29" s="23" t="str">
        <f t="shared" ca="1" si="16"/>
        <v/>
      </c>
      <c r="AN29" s="23" t="str">
        <f t="shared" ca="1" si="17"/>
        <v/>
      </c>
      <c r="AO29" s="23" t="str">
        <f t="shared" ca="1" si="17"/>
        <v/>
      </c>
      <c r="AP29" s="23" t="str">
        <f t="shared" ca="1" si="17"/>
        <v/>
      </c>
      <c r="AQ29" s="23" t="str">
        <f t="shared" ca="1" si="17"/>
        <v/>
      </c>
      <c r="AR29" s="23" t="str">
        <f t="shared" ca="1" si="17"/>
        <v/>
      </c>
      <c r="AS29" s="23" t="str">
        <f t="shared" ca="1" si="17"/>
        <v/>
      </c>
      <c r="AT29" s="23" t="str">
        <f t="shared" ca="1" si="17"/>
        <v/>
      </c>
      <c r="AU29" s="23" t="str">
        <f t="shared" ca="1" si="17"/>
        <v/>
      </c>
      <c r="AV29" s="23" t="str">
        <f t="shared" ca="1" si="17"/>
        <v/>
      </c>
      <c r="AW29" s="23" t="str">
        <f t="shared" ca="1" si="17"/>
        <v/>
      </c>
      <c r="AX29" s="23" t="str">
        <f t="shared" ca="1" si="18"/>
        <v/>
      </c>
      <c r="AY29" s="23" t="str">
        <f t="shared" ca="1" si="18"/>
        <v/>
      </c>
      <c r="AZ29" s="23" t="str">
        <f t="shared" ca="1" si="18"/>
        <v/>
      </c>
      <c r="BA29" s="23" t="str">
        <f t="shared" ca="1" si="18"/>
        <v/>
      </c>
      <c r="BB29" s="23" t="str">
        <f t="shared" ca="1" si="18"/>
        <v/>
      </c>
      <c r="BC29" s="23" t="str">
        <f t="shared" ca="1" si="18"/>
        <v/>
      </c>
      <c r="BD29" s="23" t="str">
        <f t="shared" ca="1" si="18"/>
        <v/>
      </c>
      <c r="BE29" s="23" t="str">
        <f t="shared" ca="1" si="18"/>
        <v/>
      </c>
      <c r="BF29" s="23" t="str">
        <f t="shared" ca="1" si="18"/>
        <v/>
      </c>
      <c r="BG29" s="23" t="str">
        <f t="shared" ca="1" si="18"/>
        <v/>
      </c>
      <c r="BH29" s="23" t="str">
        <f t="shared" ca="1" si="18"/>
        <v/>
      </c>
      <c r="BI29" s="23" t="str">
        <f t="shared" ca="1" si="18"/>
        <v/>
      </c>
      <c r="BJ29" s="23" t="str">
        <f t="shared" ca="1" si="18"/>
        <v/>
      </c>
      <c r="BK29" s="23" t="str">
        <f t="shared" ca="1" si="18"/>
        <v/>
      </c>
      <c r="BL29" s="23" t="str">
        <f t="shared" ca="1" si="18"/>
        <v/>
      </c>
    </row>
    <row r="30" spans="1:64" s="1" customFormat="1" ht="40.15" customHeight="1" x14ac:dyDescent="0.25">
      <c r="A30" s="9"/>
      <c r="B30" s="56" t="s">
        <v>10</v>
      </c>
      <c r="C30" s="52"/>
      <c r="D30" s="52"/>
      <c r="E30" s="53"/>
      <c r="F30" s="54">
        <f ca="1">F27+3</f>
        <v>46216</v>
      </c>
      <c r="G30" s="55">
        <v>15</v>
      </c>
      <c r="H30" s="52"/>
      <c r="I30" s="23" t="str">
        <f t="shared" ca="1" si="8"/>
        <v/>
      </c>
      <c r="J30" s="23" t="str">
        <f t="shared" ca="1" si="14"/>
        <v/>
      </c>
      <c r="K30" s="23" t="str">
        <f t="shared" ca="1" si="14"/>
        <v/>
      </c>
      <c r="L30" s="23" t="str">
        <f t="shared" ca="1" si="14"/>
        <v/>
      </c>
      <c r="M30" s="23" t="str">
        <f t="shared" ca="1" si="14"/>
        <v/>
      </c>
      <c r="N30" s="23" t="str">
        <f t="shared" ca="1" si="14"/>
        <v/>
      </c>
      <c r="O30" s="23" t="str">
        <f t="shared" ca="1" si="14"/>
        <v/>
      </c>
      <c r="P30" s="23" t="str">
        <f t="shared" ca="1" si="14"/>
        <v/>
      </c>
      <c r="Q30" s="23" t="str">
        <f t="shared" ca="1" si="14"/>
        <v/>
      </c>
      <c r="R30" s="23" t="str">
        <f t="shared" ca="1" si="14"/>
        <v/>
      </c>
      <c r="S30" s="23" t="str">
        <f t="shared" ca="1" si="14"/>
        <v/>
      </c>
      <c r="T30" s="23" t="str">
        <f t="shared" ca="1" si="15"/>
        <v/>
      </c>
      <c r="U30" s="23" t="str">
        <f t="shared" ca="1" si="15"/>
        <v/>
      </c>
      <c r="V30" s="23" t="str">
        <f t="shared" ca="1" si="15"/>
        <v/>
      </c>
      <c r="W30" s="23" t="str">
        <f t="shared" ca="1" si="15"/>
        <v/>
      </c>
      <c r="X30" s="23" t="str">
        <f t="shared" ca="1" si="15"/>
        <v/>
      </c>
      <c r="Y30" s="23" t="str">
        <f t="shared" ca="1" si="15"/>
        <v/>
      </c>
      <c r="Z30" s="23" t="str">
        <f t="shared" ca="1" si="15"/>
        <v/>
      </c>
      <c r="AA30" s="23" t="str">
        <f t="shared" ca="1" si="15"/>
        <v/>
      </c>
      <c r="AB30" s="23" t="str">
        <f t="shared" ca="1" si="15"/>
        <v/>
      </c>
      <c r="AC30" s="23" t="str">
        <f t="shared" ca="1" si="15"/>
        <v/>
      </c>
      <c r="AD30" s="23" t="str">
        <f t="shared" ca="1" si="16"/>
        <v/>
      </c>
      <c r="AE30" s="23" t="str">
        <f t="shared" ca="1" si="16"/>
        <v/>
      </c>
      <c r="AF30" s="23" t="str">
        <f t="shared" ca="1" si="16"/>
        <v/>
      </c>
      <c r="AG30" s="23" t="str">
        <f t="shared" ca="1" si="16"/>
        <v/>
      </c>
      <c r="AH30" s="23" t="str">
        <f t="shared" ca="1" si="16"/>
        <v/>
      </c>
      <c r="AI30" s="23" t="str">
        <f t="shared" ca="1" si="16"/>
        <v/>
      </c>
      <c r="AJ30" s="23" t="str">
        <f t="shared" ca="1" si="16"/>
        <v/>
      </c>
      <c r="AK30" s="23" t="str">
        <f t="shared" ca="1" si="16"/>
        <v/>
      </c>
      <c r="AL30" s="23" t="str">
        <f t="shared" ca="1" si="16"/>
        <v/>
      </c>
      <c r="AM30" s="23" t="str">
        <f t="shared" ca="1" si="16"/>
        <v/>
      </c>
      <c r="AN30" s="23" t="str">
        <f t="shared" ca="1" si="17"/>
        <v/>
      </c>
      <c r="AO30" s="23" t="str">
        <f t="shared" ca="1" si="17"/>
        <v/>
      </c>
      <c r="AP30" s="23" t="str">
        <f t="shared" ca="1" si="17"/>
        <v/>
      </c>
      <c r="AQ30" s="23" t="str">
        <f t="shared" ca="1" si="17"/>
        <v/>
      </c>
      <c r="AR30" s="23" t="str">
        <f t="shared" ca="1" si="17"/>
        <v/>
      </c>
      <c r="AS30" s="23" t="str">
        <f t="shared" ca="1" si="17"/>
        <v/>
      </c>
      <c r="AT30" s="23" t="str">
        <f t="shared" ca="1" si="17"/>
        <v/>
      </c>
      <c r="AU30" s="23" t="str">
        <f t="shared" ca="1" si="17"/>
        <v/>
      </c>
      <c r="AV30" s="23" t="str">
        <f t="shared" ca="1" si="17"/>
        <v/>
      </c>
      <c r="AW30" s="23" t="str">
        <f t="shared" ca="1" si="17"/>
        <v/>
      </c>
      <c r="AX30" s="23" t="str">
        <f t="shared" ca="1" si="18"/>
        <v/>
      </c>
      <c r="AY30" s="23" t="str">
        <f t="shared" ca="1" si="18"/>
        <v/>
      </c>
      <c r="AZ30" s="23" t="str">
        <f t="shared" ca="1" si="18"/>
        <v/>
      </c>
      <c r="BA30" s="23" t="str">
        <f t="shared" ca="1" si="18"/>
        <v/>
      </c>
      <c r="BB30" s="23" t="str">
        <f t="shared" ca="1" si="18"/>
        <v/>
      </c>
      <c r="BC30" s="23" t="str">
        <f t="shared" ca="1" si="18"/>
        <v/>
      </c>
      <c r="BD30" s="23" t="str">
        <f t="shared" ca="1" si="18"/>
        <v/>
      </c>
      <c r="BE30" s="23" t="str">
        <f t="shared" ca="1" si="18"/>
        <v/>
      </c>
      <c r="BF30" s="23" t="str">
        <f t="shared" ca="1" si="18"/>
        <v/>
      </c>
      <c r="BG30" s="23" t="str">
        <f t="shared" ca="1" si="18"/>
        <v/>
      </c>
      <c r="BH30" s="23" t="str">
        <f t="shared" ca="1" si="18"/>
        <v/>
      </c>
      <c r="BI30" s="23" t="str">
        <f t="shared" ca="1" si="18"/>
        <v/>
      </c>
      <c r="BJ30" s="23" t="str">
        <f t="shared" ca="1" si="18"/>
        <v/>
      </c>
      <c r="BK30" s="23" t="str">
        <f t="shared" ca="1" si="18"/>
        <v/>
      </c>
      <c r="BL30" s="23" t="str">
        <f t="shared" ca="1" si="18"/>
        <v/>
      </c>
    </row>
    <row r="31" spans="1:64" s="1" customFormat="1" ht="40.15" customHeight="1" x14ac:dyDescent="0.25">
      <c r="A31" s="9"/>
      <c r="B31" s="56" t="s">
        <v>11</v>
      </c>
      <c r="C31" s="52"/>
      <c r="D31" s="52"/>
      <c r="E31" s="53"/>
      <c r="F31" s="54">
        <f ca="1">F30+14</f>
        <v>46230</v>
      </c>
      <c r="G31" s="55">
        <v>5</v>
      </c>
      <c r="H31" s="52"/>
      <c r="I31" s="23" t="str">
        <f t="shared" ca="1" si="8"/>
        <v/>
      </c>
      <c r="J31" s="23" t="str">
        <f t="shared" ca="1" si="14"/>
        <v/>
      </c>
      <c r="K31" s="23" t="str">
        <f t="shared" ca="1" si="14"/>
        <v/>
      </c>
      <c r="L31" s="23" t="str">
        <f t="shared" ca="1" si="14"/>
        <v/>
      </c>
      <c r="M31" s="23" t="str">
        <f t="shared" ca="1" si="14"/>
        <v/>
      </c>
      <c r="N31" s="23" t="str">
        <f t="shared" ca="1" si="14"/>
        <v/>
      </c>
      <c r="O31" s="23" t="str">
        <f t="shared" ca="1" si="14"/>
        <v/>
      </c>
      <c r="P31" s="23" t="str">
        <f t="shared" ca="1" si="14"/>
        <v/>
      </c>
      <c r="Q31" s="23" t="str">
        <f t="shared" ca="1" si="14"/>
        <v/>
      </c>
      <c r="R31" s="23" t="str">
        <f t="shared" ca="1" si="14"/>
        <v/>
      </c>
      <c r="S31" s="23" t="str">
        <f t="shared" ca="1" si="14"/>
        <v/>
      </c>
      <c r="T31" s="23" t="str">
        <f t="shared" ca="1" si="15"/>
        <v/>
      </c>
      <c r="U31" s="23" t="str">
        <f t="shared" ca="1" si="15"/>
        <v/>
      </c>
      <c r="V31" s="23" t="str">
        <f t="shared" ca="1" si="15"/>
        <v/>
      </c>
      <c r="W31" s="23" t="str">
        <f t="shared" ca="1" si="15"/>
        <v/>
      </c>
      <c r="X31" s="23" t="str">
        <f t="shared" ca="1" si="15"/>
        <v/>
      </c>
      <c r="Y31" s="23" t="str">
        <f t="shared" ca="1" si="15"/>
        <v/>
      </c>
      <c r="Z31" s="23" t="str">
        <f t="shared" ca="1" si="15"/>
        <v/>
      </c>
      <c r="AA31" s="23" t="str">
        <f t="shared" ca="1" si="15"/>
        <v/>
      </c>
      <c r="AB31" s="23" t="str">
        <f t="shared" ca="1" si="15"/>
        <v/>
      </c>
      <c r="AC31" s="23" t="str">
        <f t="shared" ca="1" si="15"/>
        <v/>
      </c>
      <c r="AD31" s="23" t="str">
        <f t="shared" ca="1" si="16"/>
        <v/>
      </c>
      <c r="AE31" s="23" t="str">
        <f t="shared" ca="1" si="16"/>
        <v/>
      </c>
      <c r="AF31" s="23" t="str">
        <f t="shared" ca="1" si="16"/>
        <v/>
      </c>
      <c r="AG31" s="23" t="str">
        <f t="shared" ca="1" si="16"/>
        <v/>
      </c>
      <c r="AH31" s="23" t="str">
        <f t="shared" ca="1" si="16"/>
        <v/>
      </c>
      <c r="AI31" s="23" t="str">
        <f t="shared" ca="1" si="16"/>
        <v/>
      </c>
      <c r="AJ31" s="23" t="str">
        <f t="shared" ca="1" si="16"/>
        <v/>
      </c>
      <c r="AK31" s="23" t="str">
        <f t="shared" ca="1" si="16"/>
        <v/>
      </c>
      <c r="AL31" s="23" t="str">
        <f t="shared" ca="1" si="16"/>
        <v/>
      </c>
      <c r="AM31" s="23" t="str">
        <f t="shared" ca="1" si="16"/>
        <v/>
      </c>
      <c r="AN31" s="23" t="str">
        <f t="shared" ca="1" si="17"/>
        <v/>
      </c>
      <c r="AO31" s="23" t="str">
        <f t="shared" ca="1" si="17"/>
        <v/>
      </c>
      <c r="AP31" s="23" t="str">
        <f t="shared" ca="1" si="17"/>
        <v/>
      </c>
      <c r="AQ31" s="23" t="str">
        <f t="shared" ca="1" si="17"/>
        <v/>
      </c>
      <c r="AR31" s="23" t="str">
        <f t="shared" ca="1" si="17"/>
        <v/>
      </c>
      <c r="AS31" s="23" t="str">
        <f t="shared" ca="1" si="17"/>
        <v/>
      </c>
      <c r="AT31" s="23" t="str">
        <f t="shared" ca="1" si="17"/>
        <v/>
      </c>
      <c r="AU31" s="23" t="str">
        <f t="shared" ca="1" si="17"/>
        <v/>
      </c>
      <c r="AV31" s="23" t="str">
        <f t="shared" ca="1" si="17"/>
        <v/>
      </c>
      <c r="AW31" s="23" t="str">
        <f t="shared" ca="1" si="17"/>
        <v/>
      </c>
      <c r="AX31" s="23" t="str">
        <f t="shared" ca="1" si="18"/>
        <v/>
      </c>
      <c r="AY31" s="23" t="str">
        <f t="shared" ca="1" si="18"/>
        <v/>
      </c>
      <c r="AZ31" s="23" t="str">
        <f t="shared" ca="1" si="18"/>
        <v/>
      </c>
      <c r="BA31" s="23" t="str">
        <f t="shared" ca="1" si="18"/>
        <v/>
      </c>
      <c r="BB31" s="23" t="str">
        <f t="shared" ca="1" si="18"/>
        <v/>
      </c>
      <c r="BC31" s="23" t="str">
        <f t="shared" ca="1" si="18"/>
        <v/>
      </c>
      <c r="BD31" s="23" t="str">
        <f t="shared" ca="1" si="18"/>
        <v/>
      </c>
      <c r="BE31" s="23" t="str">
        <f t="shared" ca="1" si="18"/>
        <v/>
      </c>
      <c r="BF31" s="23" t="str">
        <f t="shared" ca="1" si="18"/>
        <v/>
      </c>
      <c r="BG31" s="23" t="str">
        <f t="shared" ca="1" si="18"/>
        <v/>
      </c>
      <c r="BH31" s="23" t="str">
        <f t="shared" ca="1" si="18"/>
        <v/>
      </c>
      <c r="BI31" s="23" t="str">
        <f t="shared" ca="1" si="18"/>
        <v/>
      </c>
      <c r="BJ31" s="23" t="str">
        <f t="shared" ca="1" si="18"/>
        <v/>
      </c>
      <c r="BK31" s="23" t="str">
        <f t="shared" ca="1" si="18"/>
        <v/>
      </c>
      <c r="BL31" s="23" t="str">
        <f t="shared" ca="1" si="18"/>
        <v/>
      </c>
    </row>
    <row r="32" spans="1:64" s="1" customFormat="1" ht="40.15" customHeight="1" x14ac:dyDescent="0.25">
      <c r="A32" s="9"/>
      <c r="B32" s="56" t="s">
        <v>12</v>
      </c>
      <c r="C32" s="52" t="s">
        <v>21</v>
      </c>
      <c r="D32" s="52"/>
      <c r="E32" s="53"/>
      <c r="F32" s="54">
        <f ca="1">F31+42</f>
        <v>46272</v>
      </c>
      <c r="G32" s="55">
        <v>1</v>
      </c>
      <c r="H32" s="52"/>
      <c r="I32" s="23" t="str">
        <f t="shared" ca="1" si="8"/>
        <v/>
      </c>
      <c r="J32" s="23" t="str">
        <f t="shared" ca="1" si="14"/>
        <v/>
      </c>
      <c r="K32" s="23" t="str">
        <f t="shared" ca="1" si="14"/>
        <v/>
      </c>
      <c r="L32" s="23" t="str">
        <f t="shared" ca="1" si="14"/>
        <v/>
      </c>
      <c r="M32" s="23" t="str">
        <f t="shared" ca="1" si="14"/>
        <v/>
      </c>
      <c r="N32" s="23" t="str">
        <f t="shared" ca="1" si="14"/>
        <v/>
      </c>
      <c r="O32" s="23" t="str">
        <f t="shared" ca="1" si="14"/>
        <v/>
      </c>
      <c r="P32" s="23" t="str">
        <f t="shared" ca="1" si="14"/>
        <v/>
      </c>
      <c r="Q32" s="23" t="str">
        <f t="shared" ca="1" si="14"/>
        <v/>
      </c>
      <c r="R32" s="23" t="str">
        <f t="shared" ca="1" si="14"/>
        <v/>
      </c>
      <c r="S32" s="23" t="str">
        <f t="shared" ca="1" si="14"/>
        <v/>
      </c>
      <c r="T32" s="23" t="str">
        <f t="shared" ca="1" si="15"/>
        <v/>
      </c>
      <c r="U32" s="23" t="str">
        <f t="shared" ca="1" si="15"/>
        <v/>
      </c>
      <c r="V32" s="23" t="str">
        <f t="shared" ca="1" si="15"/>
        <v/>
      </c>
      <c r="W32" s="23" t="str">
        <f t="shared" ca="1" si="15"/>
        <v/>
      </c>
      <c r="X32" s="23" t="str">
        <f t="shared" ca="1" si="15"/>
        <v/>
      </c>
      <c r="Y32" s="23" t="str">
        <f t="shared" ca="1" si="15"/>
        <v/>
      </c>
      <c r="Z32" s="23" t="str">
        <f t="shared" ca="1" si="15"/>
        <v/>
      </c>
      <c r="AA32" s="23" t="str">
        <f t="shared" ca="1" si="15"/>
        <v/>
      </c>
      <c r="AB32" s="23" t="str">
        <f t="shared" ca="1" si="15"/>
        <v/>
      </c>
      <c r="AC32" s="23" t="str">
        <f t="shared" ca="1" si="15"/>
        <v/>
      </c>
      <c r="AD32" s="23" t="str">
        <f t="shared" ca="1" si="16"/>
        <v/>
      </c>
      <c r="AE32" s="23" t="str">
        <f t="shared" ca="1" si="16"/>
        <v/>
      </c>
      <c r="AF32" s="23" t="str">
        <f t="shared" ca="1" si="16"/>
        <v/>
      </c>
      <c r="AG32" s="23" t="str">
        <f t="shared" ca="1" si="16"/>
        <v/>
      </c>
      <c r="AH32" s="23" t="str">
        <f t="shared" ca="1" si="16"/>
        <v/>
      </c>
      <c r="AI32" s="23" t="str">
        <f t="shared" ca="1" si="16"/>
        <v/>
      </c>
      <c r="AJ32" s="23" t="str">
        <f t="shared" ca="1" si="16"/>
        <v/>
      </c>
      <c r="AK32" s="23" t="str">
        <f t="shared" ca="1" si="16"/>
        <v/>
      </c>
      <c r="AL32" s="23" t="str">
        <f t="shared" ca="1" si="16"/>
        <v/>
      </c>
      <c r="AM32" s="23" t="str">
        <f t="shared" ca="1" si="16"/>
        <v/>
      </c>
      <c r="AN32" s="23" t="str">
        <f t="shared" ca="1" si="17"/>
        <v/>
      </c>
      <c r="AO32" s="23" t="str">
        <f t="shared" ca="1" si="17"/>
        <v/>
      </c>
      <c r="AP32" s="23" t="str">
        <f t="shared" ca="1" si="17"/>
        <v/>
      </c>
      <c r="AQ32" s="23" t="str">
        <f t="shared" ca="1" si="17"/>
        <v/>
      </c>
      <c r="AR32" s="23" t="str">
        <f t="shared" ca="1" si="17"/>
        <v/>
      </c>
      <c r="AS32" s="23" t="str">
        <f t="shared" ca="1" si="17"/>
        <v/>
      </c>
      <c r="AT32" s="23" t="str">
        <f t="shared" ca="1" si="17"/>
        <v/>
      </c>
      <c r="AU32" s="23" t="str">
        <f t="shared" ca="1" si="17"/>
        <v/>
      </c>
      <c r="AV32" s="23" t="str">
        <f t="shared" ca="1" si="17"/>
        <v/>
      </c>
      <c r="AW32" s="23" t="str">
        <f t="shared" ca="1" si="17"/>
        <v/>
      </c>
      <c r="AX32" s="23" t="str">
        <f t="shared" ca="1" si="18"/>
        <v/>
      </c>
      <c r="AY32" s="23" t="str">
        <f t="shared" ca="1" si="18"/>
        <v/>
      </c>
      <c r="AZ32" s="23" t="str">
        <f t="shared" ca="1" si="18"/>
        <v/>
      </c>
      <c r="BA32" s="23" t="str">
        <f t="shared" ca="1" si="18"/>
        <v/>
      </c>
      <c r="BB32" s="23" t="str">
        <f t="shared" ca="1" si="18"/>
        <v/>
      </c>
      <c r="BC32" s="23" t="str">
        <f t="shared" ca="1" si="18"/>
        <v/>
      </c>
      <c r="BD32" s="23" t="str">
        <f t="shared" ca="1" si="18"/>
        <v/>
      </c>
      <c r="BE32" s="23" t="str">
        <f t="shared" ca="1" si="18"/>
        <v/>
      </c>
      <c r="BF32" s="23" t="str">
        <f t="shared" ca="1" si="18"/>
        <v/>
      </c>
      <c r="BG32" s="23" t="str">
        <f t="shared" ca="1" si="18"/>
        <v/>
      </c>
      <c r="BH32" s="23" t="str">
        <f t="shared" ca="1" si="18"/>
        <v/>
      </c>
      <c r="BI32" s="23" t="str">
        <f t="shared" ca="1" si="18"/>
        <v/>
      </c>
      <c r="BJ32" s="23" t="str">
        <f t="shared" ca="1" si="18"/>
        <v/>
      </c>
      <c r="BK32" s="23" t="str">
        <f t="shared" ca="1" si="18"/>
        <v/>
      </c>
      <c r="BL32" s="23" t="str">
        <f t="shared" ca="1" si="18"/>
        <v/>
      </c>
    </row>
    <row r="33" spans="1:65" s="1" customFormat="1" ht="40.15" customHeight="1" x14ac:dyDescent="0.25">
      <c r="A33" s="9"/>
      <c r="B33" s="56" t="s">
        <v>13</v>
      </c>
      <c r="C33" s="52"/>
      <c r="D33" s="52"/>
      <c r="E33" s="53"/>
      <c r="F33" s="54"/>
      <c r="G33" s="55"/>
      <c r="H33" s="52"/>
      <c r="I33" s="23" t="str">
        <f t="shared" ca="1" si="8"/>
        <v/>
      </c>
      <c r="J33" s="23" t="str">
        <f t="shared" ca="1" si="14"/>
        <v/>
      </c>
      <c r="K33" s="23" t="str">
        <f t="shared" ca="1" si="14"/>
        <v/>
      </c>
      <c r="L33" s="23" t="str">
        <f t="shared" ca="1" si="14"/>
        <v/>
      </c>
      <c r="M33" s="23" t="str">
        <f t="shared" ca="1" si="14"/>
        <v/>
      </c>
      <c r="N33" s="23" t="str">
        <f t="shared" ca="1" si="14"/>
        <v/>
      </c>
      <c r="O33" s="23" t="str">
        <f t="shared" ca="1" si="14"/>
        <v/>
      </c>
      <c r="P33" s="23" t="str">
        <f t="shared" ca="1" si="14"/>
        <v/>
      </c>
      <c r="Q33" s="23" t="str">
        <f t="shared" ca="1" si="14"/>
        <v/>
      </c>
      <c r="R33" s="23" t="str">
        <f t="shared" ca="1" si="14"/>
        <v/>
      </c>
      <c r="S33" s="23" t="str">
        <f t="shared" ca="1" si="14"/>
        <v/>
      </c>
      <c r="T33" s="23" t="str">
        <f t="shared" ca="1" si="15"/>
        <v/>
      </c>
      <c r="U33" s="23" t="str">
        <f t="shared" ca="1" si="15"/>
        <v/>
      </c>
      <c r="V33" s="23" t="str">
        <f t="shared" ca="1" si="15"/>
        <v/>
      </c>
      <c r="W33" s="23" t="str">
        <f t="shared" ca="1" si="15"/>
        <v/>
      </c>
      <c r="X33" s="23" t="str">
        <f t="shared" ca="1" si="15"/>
        <v/>
      </c>
      <c r="Y33" s="23" t="str">
        <f t="shared" ca="1" si="15"/>
        <v/>
      </c>
      <c r="Z33" s="23" t="str">
        <f t="shared" ca="1" si="15"/>
        <v/>
      </c>
      <c r="AA33" s="23" t="str">
        <f t="shared" ca="1" si="15"/>
        <v/>
      </c>
      <c r="AB33" s="23" t="str">
        <f t="shared" ca="1" si="15"/>
        <v/>
      </c>
      <c r="AC33" s="23" t="str">
        <f t="shared" ca="1" si="15"/>
        <v/>
      </c>
      <c r="AD33" s="23" t="str">
        <f t="shared" ca="1" si="16"/>
        <v/>
      </c>
      <c r="AE33" s="23" t="str">
        <f t="shared" ca="1" si="16"/>
        <v/>
      </c>
      <c r="AF33" s="23" t="str">
        <f t="shared" ca="1" si="16"/>
        <v/>
      </c>
      <c r="AG33" s="23" t="str">
        <f t="shared" ca="1" si="16"/>
        <v/>
      </c>
      <c r="AH33" s="23" t="str">
        <f t="shared" ca="1" si="16"/>
        <v/>
      </c>
      <c r="AI33" s="23" t="str">
        <f t="shared" ca="1" si="16"/>
        <v/>
      </c>
      <c r="AJ33" s="23" t="str">
        <f t="shared" ca="1" si="16"/>
        <v/>
      </c>
      <c r="AK33" s="23" t="str">
        <f t="shared" ca="1" si="16"/>
        <v/>
      </c>
      <c r="AL33" s="23" t="str">
        <f t="shared" ca="1" si="16"/>
        <v/>
      </c>
      <c r="AM33" s="23" t="str">
        <f t="shared" ca="1" si="16"/>
        <v/>
      </c>
      <c r="AN33" s="23" t="str">
        <f t="shared" ca="1" si="17"/>
        <v/>
      </c>
      <c r="AO33" s="23" t="str">
        <f t="shared" ca="1" si="17"/>
        <v/>
      </c>
      <c r="AP33" s="23" t="str">
        <f t="shared" ca="1" si="17"/>
        <v/>
      </c>
      <c r="AQ33" s="23" t="str">
        <f t="shared" ca="1" si="17"/>
        <v/>
      </c>
      <c r="AR33" s="23" t="str">
        <f t="shared" ca="1" si="17"/>
        <v/>
      </c>
      <c r="AS33" s="23" t="str">
        <f t="shared" ca="1" si="17"/>
        <v/>
      </c>
      <c r="AT33" s="23" t="str">
        <f t="shared" ca="1" si="17"/>
        <v/>
      </c>
      <c r="AU33" s="23" t="str">
        <f t="shared" ca="1" si="17"/>
        <v/>
      </c>
      <c r="AV33" s="23" t="str">
        <f t="shared" ca="1" si="17"/>
        <v/>
      </c>
      <c r="AW33" s="23" t="str">
        <f t="shared" ca="1" si="17"/>
        <v/>
      </c>
      <c r="AX33" s="23" t="str">
        <f t="shared" ca="1" si="18"/>
        <v/>
      </c>
      <c r="AY33" s="23" t="str">
        <f t="shared" ca="1" si="18"/>
        <v/>
      </c>
      <c r="AZ33" s="23" t="str">
        <f t="shared" ca="1" si="18"/>
        <v/>
      </c>
      <c r="BA33" s="23" t="str">
        <f t="shared" ca="1" si="18"/>
        <v/>
      </c>
      <c r="BB33" s="23" t="str">
        <f t="shared" ca="1" si="18"/>
        <v/>
      </c>
      <c r="BC33" s="23" t="str">
        <f t="shared" ca="1" si="18"/>
        <v/>
      </c>
      <c r="BD33" s="23" t="str">
        <f t="shared" ca="1" si="18"/>
        <v/>
      </c>
      <c r="BE33" s="23" t="str">
        <f t="shared" ca="1" si="18"/>
        <v/>
      </c>
      <c r="BF33" s="23" t="str">
        <f t="shared" ca="1" si="18"/>
        <v/>
      </c>
      <c r="BG33" s="23" t="str">
        <f t="shared" ca="1" si="18"/>
        <v/>
      </c>
      <c r="BH33" s="23" t="str">
        <f t="shared" ca="1" si="18"/>
        <v/>
      </c>
      <c r="BI33" s="23" t="str">
        <f t="shared" ca="1" si="18"/>
        <v/>
      </c>
      <c r="BJ33" s="23" t="str">
        <f t="shared" ca="1" si="18"/>
        <v/>
      </c>
      <c r="BK33" s="23" t="str">
        <f t="shared" ca="1" si="18"/>
        <v/>
      </c>
      <c r="BL33" s="23" t="str">
        <f t="shared" ca="1" si="18"/>
        <v/>
      </c>
    </row>
    <row r="34" spans="1:65" s="1" customFormat="1" ht="40.15" customHeight="1" x14ac:dyDescent="0.25">
      <c r="A34" s="9"/>
      <c r="B34" s="56" t="s">
        <v>14</v>
      </c>
      <c r="C34" s="52"/>
      <c r="D34" s="52"/>
      <c r="E34" s="53"/>
      <c r="F34" s="54"/>
      <c r="G34" s="55"/>
      <c r="H34" s="52"/>
      <c r="I34" s="23" t="str">
        <f t="shared" ca="1" si="8"/>
        <v/>
      </c>
      <c r="J34" s="23" t="str">
        <f t="shared" ca="1" si="14"/>
        <v/>
      </c>
      <c r="K34" s="23" t="str">
        <f t="shared" ca="1" si="14"/>
        <v/>
      </c>
      <c r="L34" s="23" t="str">
        <f t="shared" ca="1" si="14"/>
        <v/>
      </c>
      <c r="M34" s="23" t="str">
        <f t="shared" ca="1" si="14"/>
        <v/>
      </c>
      <c r="N34" s="23" t="str">
        <f t="shared" ca="1" si="14"/>
        <v/>
      </c>
      <c r="O34" s="23" t="str">
        <f t="shared" ca="1" si="14"/>
        <v/>
      </c>
      <c r="P34" s="23" t="str">
        <f t="shared" ca="1" si="14"/>
        <v/>
      </c>
      <c r="Q34" s="23" t="str">
        <f t="shared" ca="1" si="14"/>
        <v/>
      </c>
      <c r="R34" s="23" t="str">
        <f t="shared" ca="1" si="14"/>
        <v/>
      </c>
      <c r="S34" s="23" t="str">
        <f t="shared" ca="1" si="14"/>
        <v/>
      </c>
      <c r="T34" s="23" t="str">
        <f t="shared" ca="1" si="15"/>
        <v/>
      </c>
      <c r="U34" s="23" t="str">
        <f t="shared" ca="1" si="15"/>
        <v/>
      </c>
      <c r="V34" s="23" t="str">
        <f t="shared" ca="1" si="15"/>
        <v/>
      </c>
      <c r="W34" s="23" t="str">
        <f t="shared" ca="1" si="15"/>
        <v/>
      </c>
      <c r="X34" s="23" t="str">
        <f t="shared" ca="1" si="15"/>
        <v/>
      </c>
      <c r="Y34" s="23" t="str">
        <f t="shared" ca="1" si="15"/>
        <v/>
      </c>
      <c r="Z34" s="23" t="str">
        <f t="shared" ca="1" si="15"/>
        <v/>
      </c>
      <c r="AA34" s="23" t="str">
        <f t="shared" ca="1" si="15"/>
        <v/>
      </c>
      <c r="AB34" s="23" t="str">
        <f t="shared" ca="1" si="15"/>
        <v/>
      </c>
      <c r="AC34" s="23" t="str">
        <f t="shared" ca="1" si="15"/>
        <v/>
      </c>
      <c r="AD34" s="23" t="str">
        <f t="shared" ca="1" si="16"/>
        <v/>
      </c>
      <c r="AE34" s="23" t="str">
        <f t="shared" ca="1" si="16"/>
        <v/>
      </c>
      <c r="AF34" s="23" t="str">
        <f t="shared" ca="1" si="16"/>
        <v/>
      </c>
      <c r="AG34" s="23" t="str">
        <f t="shared" ca="1" si="16"/>
        <v/>
      </c>
      <c r="AH34" s="23" t="str">
        <f t="shared" ca="1" si="16"/>
        <v/>
      </c>
      <c r="AI34" s="23" t="str">
        <f t="shared" ca="1" si="16"/>
        <v/>
      </c>
      <c r="AJ34" s="23" t="str">
        <f t="shared" ca="1" si="16"/>
        <v/>
      </c>
      <c r="AK34" s="23" t="str">
        <f t="shared" ca="1" si="16"/>
        <v/>
      </c>
      <c r="AL34" s="23" t="str">
        <f t="shared" ca="1" si="16"/>
        <v/>
      </c>
      <c r="AM34" s="23" t="str">
        <f t="shared" ca="1" si="16"/>
        <v/>
      </c>
      <c r="AN34" s="23" t="str">
        <f t="shared" ca="1" si="17"/>
        <v/>
      </c>
      <c r="AO34" s="23" t="str">
        <f t="shared" ca="1" si="17"/>
        <v/>
      </c>
      <c r="AP34" s="23" t="str">
        <f t="shared" ca="1" si="17"/>
        <v/>
      </c>
      <c r="AQ34" s="23" t="str">
        <f t="shared" ca="1" si="17"/>
        <v/>
      </c>
      <c r="AR34" s="23" t="str">
        <f t="shared" ca="1" si="17"/>
        <v/>
      </c>
      <c r="AS34" s="23" t="str">
        <f t="shared" ca="1" si="17"/>
        <v/>
      </c>
      <c r="AT34" s="23" t="str">
        <f t="shared" ca="1" si="17"/>
        <v/>
      </c>
      <c r="AU34" s="23" t="str">
        <f t="shared" ca="1" si="17"/>
        <v/>
      </c>
      <c r="AV34" s="23" t="str">
        <f t="shared" ca="1" si="17"/>
        <v/>
      </c>
      <c r="AW34" s="23" t="str">
        <f t="shared" ca="1" si="17"/>
        <v/>
      </c>
      <c r="AX34" s="23" t="str">
        <f t="shared" ca="1" si="18"/>
        <v/>
      </c>
      <c r="AY34" s="23" t="str">
        <f t="shared" ca="1" si="18"/>
        <v/>
      </c>
      <c r="AZ34" s="23" t="str">
        <f t="shared" ca="1" si="18"/>
        <v/>
      </c>
      <c r="BA34" s="23" t="str">
        <f t="shared" ca="1" si="18"/>
        <v/>
      </c>
      <c r="BB34" s="23" t="str">
        <f t="shared" ca="1" si="18"/>
        <v/>
      </c>
      <c r="BC34" s="23" t="str">
        <f t="shared" ca="1" si="18"/>
        <v/>
      </c>
      <c r="BD34" s="23" t="str">
        <f t="shared" ca="1" si="18"/>
        <v/>
      </c>
      <c r="BE34" s="23" t="str">
        <f t="shared" ca="1" si="18"/>
        <v/>
      </c>
      <c r="BF34" s="23" t="str">
        <f t="shared" ca="1" si="18"/>
        <v/>
      </c>
      <c r="BG34" s="23" t="str">
        <f t="shared" ca="1" si="18"/>
        <v/>
      </c>
      <c r="BH34" s="23" t="str">
        <f t="shared" ca="1" si="18"/>
        <v/>
      </c>
      <c r="BI34" s="23" t="str">
        <f t="shared" ca="1" si="18"/>
        <v/>
      </c>
      <c r="BJ34" s="23" t="str">
        <f t="shared" ca="1" si="18"/>
        <v/>
      </c>
      <c r="BK34" s="23" t="str">
        <f t="shared" ca="1" si="18"/>
        <v/>
      </c>
      <c r="BL34" s="23" t="str">
        <f t="shared" ca="1" si="18"/>
        <v/>
      </c>
    </row>
    <row r="35" spans="1:65" s="1" customFormat="1" ht="40.15" customHeight="1" x14ac:dyDescent="0.25">
      <c r="A35" s="9"/>
      <c r="B35" s="56"/>
      <c r="C35" s="52"/>
      <c r="D35" s="52"/>
      <c r="E35" s="53"/>
      <c r="F35" s="54"/>
      <c r="G35" s="55"/>
      <c r="H35" s="52"/>
      <c r="I35" s="23" t="str">
        <f t="shared" ca="1" si="8"/>
        <v/>
      </c>
      <c r="J35" s="23" t="str">
        <f t="shared" ca="1" si="14"/>
        <v/>
      </c>
      <c r="K35" s="23" t="str">
        <f t="shared" ca="1" si="14"/>
        <v/>
      </c>
      <c r="L35" s="23" t="str">
        <f t="shared" ca="1" si="14"/>
        <v/>
      </c>
      <c r="M35" s="23" t="str">
        <f t="shared" ca="1" si="14"/>
        <v/>
      </c>
      <c r="N35" s="23" t="str">
        <f t="shared" ca="1" si="14"/>
        <v/>
      </c>
      <c r="O35" s="23" t="str">
        <f t="shared" ca="1" si="14"/>
        <v/>
      </c>
      <c r="P35" s="23" t="str">
        <f t="shared" ca="1" si="14"/>
        <v/>
      </c>
      <c r="Q35" s="23" t="str">
        <f t="shared" ca="1" si="14"/>
        <v/>
      </c>
      <c r="R35" s="23" t="str">
        <f t="shared" ca="1" si="14"/>
        <v/>
      </c>
      <c r="S35" s="23" t="str">
        <f t="shared" ca="1" si="14"/>
        <v/>
      </c>
      <c r="T35" s="23" t="str">
        <f t="shared" ca="1" si="15"/>
        <v/>
      </c>
      <c r="U35" s="23" t="str">
        <f t="shared" ca="1" si="15"/>
        <v/>
      </c>
      <c r="V35" s="23" t="str">
        <f t="shared" ca="1" si="15"/>
        <v/>
      </c>
      <c r="W35" s="23" t="str">
        <f t="shared" ca="1" si="15"/>
        <v/>
      </c>
      <c r="X35" s="23" t="str">
        <f t="shared" ca="1" si="15"/>
        <v/>
      </c>
      <c r="Y35" s="23" t="str">
        <f t="shared" ca="1" si="15"/>
        <v/>
      </c>
      <c r="Z35" s="23" t="str">
        <f t="shared" ca="1" si="15"/>
        <v/>
      </c>
      <c r="AA35" s="23" t="str">
        <f t="shared" ca="1" si="15"/>
        <v/>
      </c>
      <c r="AB35" s="23" t="str">
        <f t="shared" ca="1" si="15"/>
        <v/>
      </c>
      <c r="AC35" s="23" t="str">
        <f t="shared" ca="1" si="15"/>
        <v/>
      </c>
      <c r="AD35" s="23" t="str">
        <f t="shared" ca="1" si="16"/>
        <v/>
      </c>
      <c r="AE35" s="23" t="str">
        <f t="shared" ca="1" si="16"/>
        <v/>
      </c>
      <c r="AF35" s="23" t="str">
        <f t="shared" ca="1" si="16"/>
        <v/>
      </c>
      <c r="AG35" s="23" t="str">
        <f t="shared" ca="1" si="16"/>
        <v/>
      </c>
      <c r="AH35" s="23" t="str">
        <f t="shared" ca="1" si="16"/>
        <v/>
      </c>
      <c r="AI35" s="23" t="str">
        <f t="shared" ca="1" si="16"/>
        <v/>
      </c>
      <c r="AJ35" s="23" t="str">
        <f t="shared" ca="1" si="16"/>
        <v/>
      </c>
      <c r="AK35" s="23" t="str">
        <f t="shared" ca="1" si="16"/>
        <v/>
      </c>
      <c r="AL35" s="23" t="str">
        <f t="shared" ca="1" si="16"/>
        <v/>
      </c>
      <c r="AM35" s="23" t="str">
        <f t="shared" ca="1" si="16"/>
        <v/>
      </c>
      <c r="AN35" s="23" t="str">
        <f t="shared" ca="1" si="17"/>
        <v/>
      </c>
      <c r="AO35" s="23" t="str">
        <f t="shared" ca="1" si="17"/>
        <v/>
      </c>
      <c r="AP35" s="23" t="str">
        <f t="shared" ca="1" si="17"/>
        <v/>
      </c>
      <c r="AQ35" s="23" t="str">
        <f t="shared" ca="1" si="17"/>
        <v/>
      </c>
      <c r="AR35" s="23" t="str">
        <f t="shared" ca="1" si="17"/>
        <v/>
      </c>
      <c r="AS35" s="23" t="str">
        <f t="shared" ca="1" si="17"/>
        <v/>
      </c>
      <c r="AT35" s="23" t="str">
        <f t="shared" ca="1" si="17"/>
        <v/>
      </c>
      <c r="AU35" s="23" t="str">
        <f t="shared" ca="1" si="17"/>
        <v/>
      </c>
      <c r="AV35" s="23" t="str">
        <f t="shared" ca="1" si="17"/>
        <v/>
      </c>
      <c r="AW35" s="23" t="str">
        <f t="shared" ca="1" si="17"/>
        <v/>
      </c>
      <c r="AX35" s="23" t="str">
        <f t="shared" ca="1" si="18"/>
        <v/>
      </c>
      <c r="AY35" s="23" t="str">
        <f t="shared" ca="1" si="18"/>
        <v/>
      </c>
      <c r="AZ35" s="23" t="str">
        <f t="shared" ca="1" si="18"/>
        <v/>
      </c>
      <c r="BA35" s="23" t="str">
        <f t="shared" ca="1" si="18"/>
        <v/>
      </c>
      <c r="BB35" s="23" t="str">
        <f t="shared" ca="1" si="18"/>
        <v/>
      </c>
      <c r="BC35" s="23" t="str">
        <f t="shared" ca="1" si="18"/>
        <v/>
      </c>
      <c r="BD35" s="23" t="str">
        <f t="shared" ca="1" si="18"/>
        <v/>
      </c>
      <c r="BE35" s="23" t="str">
        <f t="shared" ca="1" si="18"/>
        <v/>
      </c>
      <c r="BF35" s="23" t="str">
        <f t="shared" ca="1" si="18"/>
        <v/>
      </c>
      <c r="BG35" s="23" t="str">
        <f t="shared" ca="1" si="18"/>
        <v/>
      </c>
      <c r="BH35" s="23" t="str">
        <f t="shared" ca="1" si="18"/>
        <v/>
      </c>
      <c r="BI35" s="23" t="str">
        <f t="shared" ca="1" si="18"/>
        <v/>
      </c>
      <c r="BJ35" s="23" t="str">
        <f t="shared" ca="1" si="18"/>
        <v/>
      </c>
      <c r="BK35" s="23" t="str">
        <f t="shared" ca="1" si="18"/>
        <v/>
      </c>
      <c r="BL35" s="23" t="str">
        <f t="shared" ca="1" si="18"/>
        <v/>
      </c>
      <c r="BM35" s="80"/>
    </row>
    <row r="36" spans="1:65" s="1" customFormat="1" ht="40.15" customHeight="1" x14ac:dyDescent="0.25">
      <c r="A36" s="10"/>
      <c r="B36" s="100" t="s">
        <v>18</v>
      </c>
      <c r="C36" s="52"/>
      <c r="D36" s="52"/>
      <c r="E36" s="66"/>
      <c r="F36" s="76"/>
      <c r="G36" s="77"/>
      <c r="H36" s="52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65" ht="30" customHeight="1" x14ac:dyDescent="0.25">
      <c r="D37" s="4"/>
      <c r="G37" s="11"/>
      <c r="H37" s="3"/>
    </row>
    <row r="38" spans="1:65" ht="30" customHeight="1" x14ac:dyDescent="0.25">
      <c r="D38" s="5"/>
    </row>
  </sheetData>
  <mergeCells count="8">
    <mergeCell ref="Y4:AB4"/>
    <mergeCell ref="AD4:AH4"/>
    <mergeCell ref="B2:H2"/>
    <mergeCell ref="I2:N2"/>
    <mergeCell ref="O2:T2"/>
    <mergeCell ref="I4:L4"/>
    <mergeCell ref="N4:Q4"/>
    <mergeCell ref="S4:W4"/>
  </mergeCells>
  <conditionalFormatting sqref="E9:E36">
    <cfRule type="dataBar" priority="5">
      <dataBar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{BF2B6452-7C84-42DF-BE5D-B3B8CB5F5069}</x14:id>
        </ext>
      </extLst>
    </cfRule>
  </conditionalFormatting>
  <conditionalFormatting sqref="I6:AM6">
    <cfRule type="expression" dxfId="8" priority="4">
      <formula>I$7&lt;=EOMONTH($I$7,0)</formula>
    </cfRule>
  </conditionalFormatting>
  <conditionalFormatting sqref="I6:BL6">
    <cfRule type="expression" dxfId="7" priority="2">
      <formula>AND(I$7&lt;=EOMONTH($I$7,1),I$7&gt;EOMONTH($I$7,0))</formula>
    </cfRule>
  </conditionalFormatting>
  <conditionalFormatting sqref="I7:BL36">
    <cfRule type="expression" dxfId="6" priority="1">
      <formula>AND(TODAY()&gt;=I$7,TODAY()&lt;J$7)</formula>
    </cfRule>
  </conditionalFormatting>
  <conditionalFormatting sqref="I10:BL35">
    <cfRule type="expression" dxfId="5" priority="7" stopIfTrue="1">
      <formula>AND($C10="Baixo risco",I$7&gt;=$F10,I$7&lt;=$F10+$G10-1)</formula>
    </cfRule>
    <cfRule type="expression" dxfId="4" priority="8" stopIfTrue="1">
      <formula>AND($C10="Alto risco",I$7&gt;=$F10,I$7&lt;=$F10+$G10-1)</formula>
    </cfRule>
    <cfRule type="expression" dxfId="3" priority="9" stopIfTrue="1">
      <formula>AND($C10="No prazo",I$7&gt;=$F10,I$7&lt;=$F10+$G10-1)</formula>
    </cfRule>
    <cfRule type="expression" dxfId="2" priority="10" stopIfTrue="1">
      <formula>AND($C10="Médio risco",I$7&gt;=$F10,I$7&lt;=$F10+$G10-1)</formula>
    </cfRule>
    <cfRule type="expression" dxfId="1" priority="11" stopIfTrue="1">
      <formula>AND(LEN($C10)=0,I$7&gt;=$F10,I$7&lt;=$F10+$G10-1)</formula>
    </cfRule>
  </conditionalFormatting>
  <conditionalFormatting sqref="J6:BL6">
    <cfRule type="expression" dxfId="0" priority="3">
      <formula>AND(J$7&lt;=EOMONTH($I$7,2),J$7&gt;EOMONTH($I$7,0),J$7&gt;EOMONTH($I$7,1))</formula>
    </cfRule>
  </conditionalFormatting>
  <dataValidations count="13">
    <dataValidation type="list" allowBlank="1" showInputMessage="1" sqref="C11" xr:uid="{2A71DF35-3E17-4EA3-9F65-3869ED6D651B}">
      <formula1>"Objetivo,Marco,No prazo, Baixo risco, Médio risco, Alto risco"</formula1>
    </dataValidation>
    <dataValidation type="list" allowBlank="1" showInputMessage="1" showErrorMessage="1" sqref="C10 C12:C35" xr:uid="{A8CFFA66-BA13-4963-ABE3-DD76F5716C76}">
      <formula1>"Objetivo,Marco,No prazo, Baixo risco, Médio risco, Alto risco"</formula1>
    </dataValidation>
    <dataValidation type="whole" operator="greaterThanOrEqual" allowBlank="1" showInputMessage="1" promptTitle="Incremento de Rolagem" prompt="Alterar esse número rola a exibição do Gráfico de Gantt." sqref="C7" xr:uid="{86087FA1-35BE-457A-912C-7FF26BCE687A}">
      <formula1>0</formula1>
    </dataValidation>
    <dataValidation allowBlank="1" showInputMessage="1" showErrorMessage="1" prompt="Esta é uma linha vazia" sqref="A35" xr:uid="{008E5CA1-A949-4186-A5FB-74F6E9478170}"/>
    <dataValidation allowBlank="1" showInputMessage="1" showErrorMessage="1" prompt="Esta linha marca o fim dos dados do marco de Gantt. NÃO insira nada nesta linha. _x000a_Para adicionar mais itens, insira novas linhas acima desta._x000a_" sqref="A36" xr:uid="{CEB624D0-0F11-44F9-B89D-CE4F5F747510}"/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1" xr:uid="{6BCA7D1C-2B33-4267-B02B-4DBA8944EFBD}"/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B8D2B96F-34FD-4F20-9F50-24DB43B4F207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74A0C51E-7215-45D6-BD24-C245B7BE27E3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4842210D-BF55-4A86-A4C6-842F795F4B74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EA9CC617-2BA8-4E15-BE35-1DC8ED6023FF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FAE763E7-9FD8-4860-8671-9ACC7ED6CF64}"/>
    <dataValidation allowBlank="1" showInputMessage="1" showErrorMessage="1" prompt="Insira o Nome da Empresa na célula B4._x000a_Umas legendas nas células I4 a AC4. O rótulo Legenda está na célula G4." sqref="A4" xr:uid="{80AAC854-89E1-4DDF-A7BB-5345D03244F7}"/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CFF7D6BF-E50E-4A95-ACAE-5DE35B344326}"/>
  </dataValidations>
  <pageMargins left="0.5" right="0.5" top="0.5" bottom="0.5" header="0.3" footer="0.3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arra de Rolagem 1">
              <controlPr defaultSize="0" autoPict="0" altText="Barra de rolagem para percorrer a linha do tempo do projeto Ghantt.">
                <anchor moveWithCells="1">
                  <from>
                    <xdr:col>8</xdr:col>
                    <xdr:colOff>28575</xdr:colOff>
                    <xdr:row>7</xdr:row>
                    <xdr:rowOff>57150</xdr:rowOff>
                  </from>
                  <to>
                    <xdr:col>63</xdr:col>
                    <xdr:colOff>228600</xdr:colOff>
                    <xdr:row>7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2B6452-7C84-42DF-BE5D-B3B8CB5F50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67763332-2AE9-4F93-8BB7-5ECDB6B99BA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2" id="{5AD67FB9-23B4-4F54-BD80-7A6CF972034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8" ma:contentTypeDescription="Create a new document." ma:contentTypeScope="" ma:versionID="22a266b9fa9a230c5a512669d8b298c3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eddc33fff6b14141ee5c74a0d29ea6a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  <xsd:element ref="ns1:_ip_UnifiedCompliancePolicyProperties" minOccurs="0"/>
                <xsd:element ref="ns1:_ip_UnifiedCompliancePolicyUIAction" minOccurs="0"/>
                <xsd:element ref="ns2:Image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22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24" nillable="true" ma:taxonomy="true" ma:internalName="lcf76f155ced4ddcb4097134ff3c332f" ma:taxonomyFieldName="MediaServiceAITags" ma:displayName="Image Tags" ma:readOnly="false" ma:fieldId="{5cf76f15-5ced-4ddc-b409-7134ff3c332f}" ma:taxonomyMulti="true" ma:sspId="e385fb40-52d4-4fae-9c5b-3e8ff8a5878e" ma:termSetId="09814cd3-568e-4e90-9814-8d621ff8fb84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f6bfcbc-3db3-4ae6-bd76-326f0798ad28}" ma:internalName="TaxCatchAll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_ip_UnifiedCompliancePolicyProperties xmlns="http://schemas.microsoft.com/sharepoint/v3" xsi:nil="true"/>
    <lcf76f155ced4ddcb4097134ff3c332f xmlns="71af3243-3dd4-4a8d-8c0d-dd76da1f02a5">
      <Terms xmlns="http://schemas.microsoft.com/office/infopath/2007/PartnerControls"/>
    </lcf76f155ced4ddcb4097134ff3c332f>
    <TaxCatchAll xmlns="230e9df3-be65-4c73-a93b-d1236ebd677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75C87518-DD8E-42CD-8DAC-291A323E8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060724-9CA2-4290-8A0C-B53624A594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4BA2A8-DB97-40F9-8DB6-154C09C7467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Sobre</vt:lpstr>
      <vt:lpstr>Escuro</vt:lpstr>
      <vt:lpstr>Claro</vt:lpstr>
      <vt:lpstr>Cor</vt:lpstr>
      <vt:lpstr>Claro!Incremento_de_Rolagem</vt:lpstr>
      <vt:lpstr>Cor!Incremento_de_Rolagem</vt:lpstr>
      <vt:lpstr>Escuro!Incremento_de_Rolagem</vt:lpstr>
      <vt:lpstr>Claro!Início_do_projeto</vt:lpstr>
      <vt:lpstr>Cor!Início_do_projeto</vt:lpstr>
      <vt:lpstr>Escuro!Início_do_projeto</vt:lpstr>
      <vt:lpstr>Claro!Print_Titles</vt:lpstr>
      <vt:lpstr>Cor!Print_Titles</vt:lpstr>
      <vt:lpstr>Escuro!Print_Titles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2021-02-17T05:31:39Z</dcterms:created>
  <dcterms:modified xsi:type="dcterms:W3CDTF">2026-06-03T22:02:22Z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